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a\Documents\Skripsi\DATA\"/>
    </mc:Choice>
  </mc:AlternateContent>
  <xr:revisionPtr revIDLastSave="0" documentId="13_ncr:1_{B0CC04DD-B01E-43C2-9835-E2BC1AE667F3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WT_fold0" sheetId="1" r:id="rId1"/>
    <sheet name="TC_fold0" sheetId="2" r:id="rId2"/>
    <sheet name="ET_fold0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R5" i="2"/>
  <c r="O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2" i="2"/>
  <c r="F2" i="2"/>
  <c r="O6" i="2"/>
  <c r="L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E2" i="2"/>
  <c r="E3" i="2"/>
  <c r="L4" i="1"/>
  <c r="N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2" i="3"/>
  <c r="L5" i="3" s="1"/>
  <c r="L9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L6" i="2" s="1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2" i="1"/>
  <c r="L1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L4" i="3" l="1"/>
</calcChain>
</file>

<file path=xl/sharedStrings.xml><?xml version="1.0" encoding="utf-8"?>
<sst xmlns="http://schemas.openxmlformats.org/spreadsheetml/2006/main" count="792" uniqueCount="210">
  <si>
    <t>case</t>
  </si>
  <si>
    <t>BraTS-GLI-01021-000</t>
  </si>
  <si>
    <t>BraTS-GLI-01659-000</t>
  </si>
  <si>
    <t>BraTS-GLI-01365-000</t>
  </si>
  <si>
    <t>BraTS-GLI-01199-000</t>
  </si>
  <si>
    <t>BraTS-GLI-01405-000</t>
  </si>
  <si>
    <t>BraTS-GLI-01515-000</t>
  </si>
  <si>
    <t>BraTS-GLI-00810-000</t>
  </si>
  <si>
    <t>BraTS-GLI-01012-000</t>
  </si>
  <si>
    <t>BraTS-GLI-01000-000</t>
  </si>
  <si>
    <t>BraTS-GLI-00237-000</t>
  </si>
  <si>
    <t>BraTS-GLI-01459-000</t>
  </si>
  <si>
    <t>BraTS-GLI-01304-000</t>
  </si>
  <si>
    <t>BraTS-GLI-00765-000</t>
  </si>
  <si>
    <t>BraTS-GLI-00679-000</t>
  </si>
  <si>
    <t>BraTS-GLI-00054-000</t>
  </si>
  <si>
    <t>BraTS-GLI-00739-000</t>
  </si>
  <si>
    <t>BraTS-GLI-01338-000</t>
  </si>
  <si>
    <t>BraTS-GLI-00542-000</t>
  </si>
  <si>
    <t>BraTS-GLI-00630-001</t>
  </si>
  <si>
    <t>BraTS-GLI-00176-000</t>
  </si>
  <si>
    <t>BraTS-GLI-00258-000</t>
  </si>
  <si>
    <t>BraTS-GLI-00523-000</t>
  </si>
  <si>
    <t>BraTS-GLI-00537-000</t>
  </si>
  <si>
    <t>BraTS-GLI-01414-000</t>
  </si>
  <si>
    <t>BraTS-GLI-01275-000</t>
  </si>
  <si>
    <t>BraTS-GLI-01484-000</t>
  </si>
  <si>
    <t>BraTS-GLI-00085-000</t>
  </si>
  <si>
    <t>BraTS-GLI-01214-000</t>
  </si>
  <si>
    <t>BraTS-GLI-00339-000</t>
  </si>
  <si>
    <t>BraTS-GLI-01087-000</t>
  </si>
  <si>
    <t>BraTS-GLI-01269-000</t>
  </si>
  <si>
    <t>BraTS-GLI-00087-001</t>
  </si>
  <si>
    <t>BraTS-GLI-01413-000</t>
  </si>
  <si>
    <t>BraTS-GLI-01095-000</t>
  </si>
  <si>
    <t>BraTS-GLI-01233-000</t>
  </si>
  <si>
    <t>BraTS-GLI-00621-000</t>
  </si>
  <si>
    <t>BraTS-GLI-00380-000</t>
  </si>
  <si>
    <t>BraTS-GLI-00046-000</t>
  </si>
  <si>
    <t>BraTS-GLI-01509-000</t>
  </si>
  <si>
    <t>BraTS-GLI-00064-000</t>
  </si>
  <si>
    <t>BraTS-GLI-00735-001</t>
  </si>
  <si>
    <t>BraTS-GLI-01113-000</t>
  </si>
  <si>
    <t>BraTS-GLI-01282-000</t>
  </si>
  <si>
    <t>BraTS-GLI-01431-000</t>
  </si>
  <si>
    <t>BraTS-GLI-01307-000</t>
  </si>
  <si>
    <t>BraTS-GLI-01368-000</t>
  </si>
  <si>
    <t>BraTS-GLI-00725-000</t>
  </si>
  <si>
    <t>BraTS-GLI-01185-000</t>
  </si>
  <si>
    <t>BraTS-GLI-00631-000</t>
  </si>
  <si>
    <t>BraTS-GLI-00254-000</t>
  </si>
  <si>
    <t>BraTS-GLI-00132-000</t>
  </si>
  <si>
    <t>BraTS-GLI-00288-000</t>
  </si>
  <si>
    <t>BraTS-GLI-00089-000</t>
  </si>
  <si>
    <t>BraTS-GLI-01458-000</t>
  </si>
  <si>
    <t>BraTS-GLI-01493-000</t>
  </si>
  <si>
    <t>BraTS-GLI-01401-000</t>
  </si>
  <si>
    <t>BraTS-GLI-00540-000</t>
  </si>
  <si>
    <t>BraTS-GLI-00645-001</t>
  </si>
  <si>
    <t>BraTS-GLI-00316-000</t>
  </si>
  <si>
    <t>BraTS-GLI-00060-000</t>
  </si>
  <si>
    <t>BraTS-GLI-01135-000</t>
  </si>
  <si>
    <t>BraTS-GLI-00022-000</t>
  </si>
  <si>
    <t>BraTS-GLI-00676-001</t>
  </si>
  <si>
    <t>BraTS-GLI-01231-000</t>
  </si>
  <si>
    <t>BraTS-GLI-00608-000</t>
  </si>
  <si>
    <t>BraTS-GLI-00688-000</t>
  </si>
  <si>
    <t>BraTS-GLI-00468-000</t>
  </si>
  <si>
    <t>BraTS-GLI-01341-000</t>
  </si>
  <si>
    <t>BraTS-GLI-00053-000</t>
  </si>
  <si>
    <t>BraTS-GLI-00233-000</t>
  </si>
  <si>
    <t>BraTS-GLI-01524-000</t>
  </si>
  <si>
    <t>BraTS-GLI-01167-000</t>
  </si>
  <si>
    <t>BraTS-GLI-00481-000</t>
  </si>
  <si>
    <t>BraTS-GLI-01442-000</t>
  </si>
  <si>
    <t>BraTS-GLI-00569-000</t>
  </si>
  <si>
    <t>BraTS-GLI-00530-000</t>
  </si>
  <si>
    <t>BraTS-GLI-00590-000</t>
  </si>
  <si>
    <t>BraTS-GLI-00533-000</t>
  </si>
  <si>
    <t>BraTS-GLI-01386-000</t>
  </si>
  <si>
    <t>BraTS-GLI-00426-000</t>
  </si>
  <si>
    <t>BraTS-GLI-00454-000</t>
  </si>
  <si>
    <t>BraTS-GLI-00106-000</t>
  </si>
  <si>
    <t>BraTS-GLI-01521-000</t>
  </si>
  <si>
    <t>BraTS-GLI-01387-000</t>
  </si>
  <si>
    <t>BraTS-GLI-01469-000</t>
  </si>
  <si>
    <t>BraTS-GLI-01206-000</t>
  </si>
  <si>
    <t>BraTS-GLI-00730-001</t>
  </si>
  <si>
    <t>BraTS-GLI-01296-000</t>
  </si>
  <si>
    <t>BraTS-GLI-01020-000</t>
  </si>
  <si>
    <t>BraTS-GLI-01490-000</t>
  </si>
  <si>
    <t>BraTS-GLI-01395-000</t>
  </si>
  <si>
    <t>BraTS-GLI-00686-000</t>
  </si>
  <si>
    <t>BraTS-GLI-01487-000</t>
  </si>
  <si>
    <t>BraTS-GLI-00048-000</t>
  </si>
  <si>
    <t>BraTS-GLI-00773-000</t>
  </si>
  <si>
    <t>BraTS-GLI-00138-000</t>
  </si>
  <si>
    <t>BraTS-GLI-00028-000</t>
  </si>
  <si>
    <t>BraTS-GLI-00031-000</t>
  </si>
  <si>
    <t>BraTS-GLI-00346-000</t>
  </si>
  <si>
    <t>BraTS-GLI-00478-000</t>
  </si>
  <si>
    <t>BraTS-GLI-01073-000</t>
  </si>
  <si>
    <t>BraTS-GLI-01045-000</t>
  </si>
  <si>
    <t>BraTS-GLI-00095-001</t>
  </si>
  <si>
    <t>BraTS-GLI-01077-000</t>
  </si>
  <si>
    <t>BraTS-GLI-01317-000</t>
  </si>
  <si>
    <t>BraTS-GLI-01035-000</t>
  </si>
  <si>
    <t>BraTS-GLI-01034-000</t>
  </si>
  <si>
    <t>BraTS-GLI-00804-000</t>
  </si>
  <si>
    <t>BraTS-GLI-01265-000</t>
  </si>
  <si>
    <t>BraTS-GLI-01058-000</t>
  </si>
  <si>
    <t>BraTS-GLI-00540-001</t>
  </si>
  <si>
    <t>BraTS-GLI-00206-000</t>
  </si>
  <si>
    <t>BraTS-GLI-00195-000</t>
  </si>
  <si>
    <t>BraTS-GLI-00806-000</t>
  </si>
  <si>
    <t>BraTS-GLI-00674-001</t>
  </si>
  <si>
    <t>BraTS-GLI-01228-000</t>
  </si>
  <si>
    <t>BraTS-GLI-01010-000</t>
  </si>
  <si>
    <t>BraTS-GLI-00378-000</t>
  </si>
  <si>
    <t>BraTS-GLI-00680-000</t>
  </si>
  <si>
    <t>BraTS-GLI-00074-000</t>
  </si>
  <si>
    <t>BraTS-GLI-01287-000</t>
  </si>
  <si>
    <t>BraTS-GLI-00667-000</t>
  </si>
  <si>
    <t>BraTS-GLI-00120-000</t>
  </si>
  <si>
    <t>BraTS-GLI-00500-000</t>
  </si>
  <si>
    <t>BraTS-GLI-00239-000</t>
  </si>
  <si>
    <t>BraTS-GLI-00661-000</t>
  </si>
  <si>
    <t>BraTS-GLI-00376-000</t>
  </si>
  <si>
    <t>BraTS-GLI-00446-000</t>
  </si>
  <si>
    <t>BraTS-GLI-01337-000</t>
  </si>
  <si>
    <t>BraTS-GLI-01657-000</t>
  </si>
  <si>
    <t>BraTS-GLI-01418-000</t>
  </si>
  <si>
    <t>BraTS-GLI-00112-000</t>
  </si>
  <si>
    <t>BraTS-GLI-01438-000</t>
  </si>
  <si>
    <t>BraTS-GLI-01285-000</t>
  </si>
  <si>
    <t>BraTS-GLI-01220-000</t>
  </si>
  <si>
    <t>BraTS-GLI-01108-000</t>
  </si>
  <si>
    <t>BraTS-GLI-00606-000</t>
  </si>
  <si>
    <t>BraTS-GLI-00750-000</t>
  </si>
  <si>
    <t>BraTS-GLI-00429-000</t>
  </si>
  <si>
    <t>BraTS-GLI-01237-000</t>
  </si>
  <si>
    <t>BraTS-GLI-01455-000</t>
  </si>
  <si>
    <t>BraTS-GLI-00575-000</t>
  </si>
  <si>
    <t>BraTS-GLI-00360-000</t>
  </si>
  <si>
    <t>BraTS-GLI-00742-000</t>
  </si>
  <si>
    <t>BraTS-GLI-01355-000</t>
  </si>
  <si>
    <t>BraTS-GLI-01256-000</t>
  </si>
  <si>
    <t>BraTS-GLI-01086-000</t>
  </si>
  <si>
    <t>BraTS-GLI-00479-000</t>
  </si>
  <si>
    <t>BraTS-GLI-00694-000</t>
  </si>
  <si>
    <t>BraTS-GLI-00058-000</t>
  </si>
  <si>
    <t>BraTS-GLI-01022-000</t>
  </si>
  <si>
    <t>BraTS-GLI-00430-000</t>
  </si>
  <si>
    <t>BraTS-GLI-00059-000</t>
  </si>
  <si>
    <t>BraTS-GLI-00115-000</t>
  </si>
  <si>
    <t>BraTS-GLI-01443-000</t>
  </si>
  <si>
    <t>BraTS-GLI-00736-000</t>
  </si>
  <si>
    <t>BraTS-GLI-01477-000</t>
  </si>
  <si>
    <t>BraTS-GLI-01029-000</t>
  </si>
  <si>
    <t>BraTS-GLI-01496-000</t>
  </si>
  <si>
    <t>BraTS-GLI-00596-000</t>
  </si>
  <si>
    <t>BraTS-GLI-01217-000</t>
  </si>
  <si>
    <t>BraTS-GLI-00706-000</t>
  </si>
  <si>
    <t>BraTS-GLI-00705-000</t>
  </si>
  <si>
    <t>BraTS-GLI-00795-000</t>
  </si>
  <si>
    <t>BraTS-GLI-01370-000</t>
  </si>
  <si>
    <t>BraTS-GLI-01247-000</t>
  </si>
  <si>
    <t>BraTS-GLI-00571-000</t>
  </si>
  <si>
    <t>BraTS-GLI-01112-000</t>
  </si>
  <si>
    <t>BraTS-GLI-01422-000</t>
  </si>
  <si>
    <t>BraTS-GLI-01066-000</t>
  </si>
  <si>
    <t>BraTS-GLI-01102-000</t>
  </si>
  <si>
    <t>BraTS-GLI-01417-000</t>
  </si>
  <si>
    <t>BraTS-GLI-01031-000</t>
  </si>
  <si>
    <t>BraTS-GLI-01364-000</t>
  </si>
  <si>
    <t>BraTS-GLI-00620-001</t>
  </si>
  <si>
    <t>BraTS-GLI-01662-000</t>
  </si>
  <si>
    <t>BraTS-GLI-01101-000</t>
  </si>
  <si>
    <t>BraTS-GLI-00199-000</t>
  </si>
  <si>
    <t>BraTS-GLI-01298-000</t>
  </si>
  <si>
    <t>BraTS-GLI-00772-001</t>
  </si>
  <si>
    <t>BraTS-GLI-00444-000</t>
  </si>
  <si>
    <t>BraTS-GLI-00650-000</t>
  </si>
  <si>
    <t>BraTS-GLI-00271-000</t>
  </si>
  <si>
    <t>BraTS-GLI-00718-000</t>
  </si>
  <si>
    <t>BraTS-GLI-00805-000</t>
  </si>
  <si>
    <t>BraTS-GLI-00656-000</t>
  </si>
  <si>
    <t>BraTS-GLI-00514-000</t>
  </si>
  <si>
    <t>BraTS-GLI-00253-000</t>
  </si>
  <si>
    <t>dsc_WT_t1ce_flair</t>
  </si>
  <si>
    <t>dsc_TC_t1ce_flair</t>
  </si>
  <si>
    <t>dsc_TC_t2_t1ce</t>
  </si>
  <si>
    <t>dsc_ET_t1ce_flair</t>
  </si>
  <si>
    <t>dsc_ET_t2_t1ce</t>
  </si>
  <si>
    <t>Pearson Correlation</t>
  </si>
  <si>
    <t>WT</t>
  </si>
  <si>
    <t>TC</t>
  </si>
  <si>
    <t>ET</t>
  </si>
  <si>
    <t>T1ce+FLAIR</t>
  </si>
  <si>
    <t>T2+T1ce</t>
  </si>
  <si>
    <t>Winner WT</t>
  </si>
  <si>
    <t>Winner TC</t>
  </si>
  <si>
    <t>Winner ET</t>
  </si>
  <si>
    <t>dsc_WT_t2_t1ce</t>
  </si>
  <si>
    <t>dsc_WT_ensemble</t>
  </si>
  <si>
    <t>dsc_ET_ensemble</t>
  </si>
  <si>
    <t>dsc_TC_ensemble</t>
  </si>
  <si>
    <t>winner from t1ce_flair</t>
  </si>
  <si>
    <t>Ensemble</t>
  </si>
  <si>
    <t>winner from t2+t1ce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</si>
</sst>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DSC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WT_fold0!$C$1</c:f>
              <c:strCache>
                <c:ptCount val="1"/>
                <c:pt idx="0">
                  <c:v>dsc_WT_t2_t1ce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WT_fold0!$B$2:$B$189</c:f>
              <c:numCache>
                <c:formatCode>General</c:formatCode>
                <c:ptCount val="188"/>
                <c:pt idx="0">
                  <c:v>0.97097903490066495</c:v>
                </c:pt>
                <c:pt idx="1">
                  <c:v>0.94787305593490601</c:v>
                </c:pt>
                <c:pt idx="2">
                  <c:v>0.62625020742416304</c:v>
                </c:pt>
                <c:pt idx="3">
                  <c:v>0.96400487422943104</c:v>
                </c:pt>
                <c:pt idx="4">
                  <c:v>0.85372304916381803</c:v>
                </c:pt>
                <c:pt idx="5">
                  <c:v>0.94115960597991899</c:v>
                </c:pt>
                <c:pt idx="6">
                  <c:v>0.962785184383392</c:v>
                </c:pt>
                <c:pt idx="7">
                  <c:v>0.89544183015823298</c:v>
                </c:pt>
                <c:pt idx="8">
                  <c:v>0.96558809280395497</c:v>
                </c:pt>
                <c:pt idx="9">
                  <c:v>0.96286058425903298</c:v>
                </c:pt>
                <c:pt idx="10">
                  <c:v>0.89310169219970703</c:v>
                </c:pt>
                <c:pt idx="11">
                  <c:v>0.96003156900405795</c:v>
                </c:pt>
                <c:pt idx="12">
                  <c:v>0.91938120126724199</c:v>
                </c:pt>
                <c:pt idx="13">
                  <c:v>0.95920652151107699</c:v>
                </c:pt>
                <c:pt idx="14">
                  <c:v>0.89057260751724199</c:v>
                </c:pt>
                <c:pt idx="15">
                  <c:v>0.95480793714523304</c:v>
                </c:pt>
                <c:pt idx="16">
                  <c:v>0.94946372509002597</c:v>
                </c:pt>
                <c:pt idx="17">
                  <c:v>0.91074329614639205</c:v>
                </c:pt>
                <c:pt idx="18">
                  <c:v>0.93016219139099099</c:v>
                </c:pt>
                <c:pt idx="19">
                  <c:v>0.95331168174743597</c:v>
                </c:pt>
                <c:pt idx="20">
                  <c:v>0.74475020170211703</c:v>
                </c:pt>
                <c:pt idx="21">
                  <c:v>0.905858874320983</c:v>
                </c:pt>
                <c:pt idx="22">
                  <c:v>0.78762036561965898</c:v>
                </c:pt>
                <c:pt idx="23">
                  <c:v>0.93588602542877197</c:v>
                </c:pt>
                <c:pt idx="24">
                  <c:v>0.92822474241256703</c:v>
                </c:pt>
                <c:pt idx="25">
                  <c:v>0.94853055477142301</c:v>
                </c:pt>
                <c:pt idx="26">
                  <c:v>0.91547650098800604</c:v>
                </c:pt>
                <c:pt idx="27">
                  <c:v>0.88141036033630304</c:v>
                </c:pt>
                <c:pt idx="28">
                  <c:v>0.95872968435287398</c:v>
                </c:pt>
                <c:pt idx="29">
                  <c:v>0.92565310001373202</c:v>
                </c:pt>
                <c:pt idx="30">
                  <c:v>0.88670629262924106</c:v>
                </c:pt>
                <c:pt idx="31">
                  <c:v>0.93689602613449097</c:v>
                </c:pt>
                <c:pt idx="32">
                  <c:v>0.92566299438476496</c:v>
                </c:pt>
                <c:pt idx="33">
                  <c:v>0.96471738815307595</c:v>
                </c:pt>
                <c:pt idx="34">
                  <c:v>0.89518862962722701</c:v>
                </c:pt>
                <c:pt idx="35">
                  <c:v>0.73222869634628296</c:v>
                </c:pt>
                <c:pt idx="36">
                  <c:v>0.85589379072189298</c:v>
                </c:pt>
                <c:pt idx="37">
                  <c:v>0.96626847982406605</c:v>
                </c:pt>
                <c:pt idx="38">
                  <c:v>0.87501239776611295</c:v>
                </c:pt>
                <c:pt idx="39">
                  <c:v>0.90712338685989302</c:v>
                </c:pt>
                <c:pt idx="40">
                  <c:v>0.88541114330291704</c:v>
                </c:pt>
                <c:pt idx="41">
                  <c:v>0.92213225364685003</c:v>
                </c:pt>
                <c:pt idx="42">
                  <c:v>0.79219442605972201</c:v>
                </c:pt>
                <c:pt idx="43">
                  <c:v>0.77655231952667203</c:v>
                </c:pt>
                <c:pt idx="44">
                  <c:v>0.967776119709014</c:v>
                </c:pt>
                <c:pt idx="45">
                  <c:v>0.93869972229003895</c:v>
                </c:pt>
                <c:pt idx="46">
                  <c:v>0.75448030233383101</c:v>
                </c:pt>
                <c:pt idx="47">
                  <c:v>0.88544338941574097</c:v>
                </c:pt>
                <c:pt idx="48">
                  <c:v>0.964361071586608</c:v>
                </c:pt>
                <c:pt idx="49">
                  <c:v>0.95490223169326705</c:v>
                </c:pt>
                <c:pt idx="50">
                  <c:v>0.88904267549514704</c:v>
                </c:pt>
                <c:pt idx="51">
                  <c:v>0.92850118875503496</c:v>
                </c:pt>
                <c:pt idx="52">
                  <c:v>0.93397021293640103</c:v>
                </c:pt>
                <c:pt idx="53">
                  <c:v>0.94040900468826205</c:v>
                </c:pt>
                <c:pt idx="54">
                  <c:v>0.91077041625976496</c:v>
                </c:pt>
                <c:pt idx="55">
                  <c:v>0.96943360567092896</c:v>
                </c:pt>
                <c:pt idx="56">
                  <c:v>0.87537676095962502</c:v>
                </c:pt>
                <c:pt idx="57">
                  <c:v>0.93251377344131403</c:v>
                </c:pt>
                <c:pt idx="58">
                  <c:v>0.953746378421783</c:v>
                </c:pt>
                <c:pt idx="59">
                  <c:v>0.95565330982208196</c:v>
                </c:pt>
                <c:pt idx="60">
                  <c:v>0.96021598577499301</c:v>
                </c:pt>
                <c:pt idx="61">
                  <c:v>0.93052303791046098</c:v>
                </c:pt>
                <c:pt idx="62">
                  <c:v>0.94970095157623202</c:v>
                </c:pt>
                <c:pt idx="63">
                  <c:v>0.926535904407501</c:v>
                </c:pt>
                <c:pt idx="64">
                  <c:v>0.94533878564834595</c:v>
                </c:pt>
                <c:pt idx="65">
                  <c:v>0.93940776586532504</c:v>
                </c:pt>
                <c:pt idx="66">
                  <c:v>0.82223099470138505</c:v>
                </c:pt>
                <c:pt idx="67">
                  <c:v>0.49228841066360401</c:v>
                </c:pt>
                <c:pt idx="68">
                  <c:v>0.94456750154495195</c:v>
                </c:pt>
                <c:pt idx="69">
                  <c:v>0.95872020721435502</c:v>
                </c:pt>
                <c:pt idx="70">
                  <c:v>0.94799447059631303</c:v>
                </c:pt>
                <c:pt idx="71">
                  <c:v>0.81932514905929499</c:v>
                </c:pt>
                <c:pt idx="72">
                  <c:v>0.94347470998764005</c:v>
                </c:pt>
                <c:pt idx="73">
                  <c:v>0.94157981872558505</c:v>
                </c:pt>
                <c:pt idx="74">
                  <c:v>0.95609247684478704</c:v>
                </c:pt>
                <c:pt idx="75">
                  <c:v>0.90302836894989003</c:v>
                </c:pt>
                <c:pt idx="76">
                  <c:v>0.923314929008483</c:v>
                </c:pt>
                <c:pt idx="77">
                  <c:v>0.94414430856704701</c:v>
                </c:pt>
                <c:pt idx="78">
                  <c:v>0.959894359111785</c:v>
                </c:pt>
                <c:pt idx="79">
                  <c:v>0.96337836980819702</c:v>
                </c:pt>
                <c:pt idx="80">
                  <c:v>0.945925593376159</c:v>
                </c:pt>
                <c:pt idx="81">
                  <c:v>0.92802655696868896</c:v>
                </c:pt>
                <c:pt idx="82">
                  <c:v>0.91106033325195301</c:v>
                </c:pt>
                <c:pt idx="83">
                  <c:v>0.87501299381256104</c:v>
                </c:pt>
                <c:pt idx="84">
                  <c:v>0.827498018741607</c:v>
                </c:pt>
                <c:pt idx="85">
                  <c:v>0.93705761432647705</c:v>
                </c:pt>
                <c:pt idx="86">
                  <c:v>0.95095336437225297</c:v>
                </c:pt>
                <c:pt idx="87">
                  <c:v>0.901059210300445</c:v>
                </c:pt>
                <c:pt idx="88">
                  <c:v>0.97272449731826705</c:v>
                </c:pt>
                <c:pt idx="89">
                  <c:v>0.92180627584457397</c:v>
                </c:pt>
                <c:pt idx="90">
                  <c:v>0.91823309659957797</c:v>
                </c:pt>
                <c:pt idx="91">
                  <c:v>0.95988976955413796</c:v>
                </c:pt>
                <c:pt idx="92">
                  <c:v>0.95871007442474299</c:v>
                </c:pt>
                <c:pt idx="93">
                  <c:v>0.94181567430496205</c:v>
                </c:pt>
                <c:pt idx="94">
                  <c:v>0.90629911422729403</c:v>
                </c:pt>
                <c:pt idx="95">
                  <c:v>0.91774433851241999</c:v>
                </c:pt>
                <c:pt idx="96">
                  <c:v>0.70512962341308505</c:v>
                </c:pt>
                <c:pt idx="97">
                  <c:v>0.86308801174163796</c:v>
                </c:pt>
                <c:pt idx="98">
                  <c:v>0.95356696844100897</c:v>
                </c:pt>
                <c:pt idx="99">
                  <c:v>0.95122718811035101</c:v>
                </c:pt>
                <c:pt idx="100">
                  <c:v>0.95035421848297097</c:v>
                </c:pt>
                <c:pt idx="101">
                  <c:v>0.92074286937713601</c:v>
                </c:pt>
                <c:pt idx="102">
                  <c:v>0.95055466890335005</c:v>
                </c:pt>
                <c:pt idx="103">
                  <c:v>0.89490991830825795</c:v>
                </c:pt>
                <c:pt idx="104">
                  <c:v>0.96898764371871904</c:v>
                </c:pt>
                <c:pt idx="105">
                  <c:v>0.80207395553588801</c:v>
                </c:pt>
                <c:pt idx="106">
                  <c:v>0.82724404335021895</c:v>
                </c:pt>
                <c:pt idx="107">
                  <c:v>0.96692901849746704</c:v>
                </c:pt>
                <c:pt idx="108">
                  <c:v>0.92766523361205999</c:v>
                </c:pt>
                <c:pt idx="109">
                  <c:v>0.88571262359619096</c:v>
                </c:pt>
                <c:pt idx="110">
                  <c:v>0.88685834407806396</c:v>
                </c:pt>
                <c:pt idx="111">
                  <c:v>0.89992278814315796</c:v>
                </c:pt>
                <c:pt idx="112">
                  <c:v>0.96689176559448198</c:v>
                </c:pt>
                <c:pt idx="113">
                  <c:v>0.95048999786376898</c:v>
                </c:pt>
                <c:pt idx="114">
                  <c:v>0.953979551792144</c:v>
                </c:pt>
                <c:pt idx="115">
                  <c:v>0.94017791748046797</c:v>
                </c:pt>
                <c:pt idx="116">
                  <c:v>0.934933722019195</c:v>
                </c:pt>
                <c:pt idx="117">
                  <c:v>0.92809510231018</c:v>
                </c:pt>
                <c:pt idx="118">
                  <c:v>0.94773322343826205</c:v>
                </c:pt>
                <c:pt idx="119">
                  <c:v>0.95032232999801602</c:v>
                </c:pt>
                <c:pt idx="120">
                  <c:v>0.95625025033950795</c:v>
                </c:pt>
                <c:pt idx="121">
                  <c:v>0.96487313508987405</c:v>
                </c:pt>
                <c:pt idx="122">
                  <c:v>0.959184169769287</c:v>
                </c:pt>
                <c:pt idx="123">
                  <c:v>0.91357105970382602</c:v>
                </c:pt>
                <c:pt idx="124">
                  <c:v>0.88625961542129505</c:v>
                </c:pt>
                <c:pt idx="125">
                  <c:v>0.92809754610061601</c:v>
                </c:pt>
                <c:pt idx="126">
                  <c:v>0.93443524837493896</c:v>
                </c:pt>
                <c:pt idx="127">
                  <c:v>0.96326094865798895</c:v>
                </c:pt>
                <c:pt idx="128">
                  <c:v>0.96942478418350198</c:v>
                </c:pt>
                <c:pt idx="129">
                  <c:v>0.95588970184326105</c:v>
                </c:pt>
                <c:pt idx="130">
                  <c:v>0.93050295114517201</c:v>
                </c:pt>
                <c:pt idx="131">
                  <c:v>0.86958193778991699</c:v>
                </c:pt>
                <c:pt idx="132">
                  <c:v>0.87643808126449496</c:v>
                </c:pt>
                <c:pt idx="133">
                  <c:v>0.94585746526718095</c:v>
                </c:pt>
                <c:pt idx="134">
                  <c:v>0.91069853305816595</c:v>
                </c:pt>
                <c:pt idx="135">
                  <c:v>0.92205446958541804</c:v>
                </c:pt>
                <c:pt idx="136">
                  <c:v>0.93158471584320002</c:v>
                </c:pt>
                <c:pt idx="137">
                  <c:v>0.93672466278076105</c:v>
                </c:pt>
                <c:pt idx="138">
                  <c:v>0.90925931930541903</c:v>
                </c:pt>
                <c:pt idx="139">
                  <c:v>0.86133164167404097</c:v>
                </c:pt>
                <c:pt idx="140">
                  <c:v>0.91654920578002896</c:v>
                </c:pt>
                <c:pt idx="141">
                  <c:v>0.95964002609252896</c:v>
                </c:pt>
                <c:pt idx="142">
                  <c:v>0.88672912120819003</c:v>
                </c:pt>
                <c:pt idx="143">
                  <c:v>0.93264871835708596</c:v>
                </c:pt>
                <c:pt idx="144">
                  <c:v>0.96454471349716098</c:v>
                </c:pt>
                <c:pt idx="145">
                  <c:v>0.95359855890274003</c:v>
                </c:pt>
                <c:pt idx="146">
                  <c:v>0.96910911798477095</c:v>
                </c:pt>
                <c:pt idx="147">
                  <c:v>0.936692655086517</c:v>
                </c:pt>
                <c:pt idx="148">
                  <c:v>0.62478417158126798</c:v>
                </c:pt>
                <c:pt idx="149">
                  <c:v>0.92673718929290705</c:v>
                </c:pt>
                <c:pt idx="150">
                  <c:v>0.95748263597488403</c:v>
                </c:pt>
                <c:pt idx="151">
                  <c:v>0.94264543056488004</c:v>
                </c:pt>
                <c:pt idx="152">
                  <c:v>0.939547538757324</c:v>
                </c:pt>
                <c:pt idx="153">
                  <c:v>0.94630205631256104</c:v>
                </c:pt>
                <c:pt idx="154">
                  <c:v>0.91876333951949996</c:v>
                </c:pt>
                <c:pt idx="155">
                  <c:v>0.826174616813659</c:v>
                </c:pt>
                <c:pt idx="156">
                  <c:v>0.932178974151611</c:v>
                </c:pt>
                <c:pt idx="157">
                  <c:v>0.97209334373474099</c:v>
                </c:pt>
                <c:pt idx="158">
                  <c:v>0.93858683109283403</c:v>
                </c:pt>
                <c:pt idx="159">
                  <c:v>0.95147514343261697</c:v>
                </c:pt>
                <c:pt idx="160">
                  <c:v>0.91064774990081698</c:v>
                </c:pt>
                <c:pt idx="161">
                  <c:v>0.93800818920135498</c:v>
                </c:pt>
                <c:pt idx="162">
                  <c:v>0.90694004297256403</c:v>
                </c:pt>
                <c:pt idx="163">
                  <c:v>0.92424845695495605</c:v>
                </c:pt>
                <c:pt idx="164">
                  <c:v>0.82316845655441195</c:v>
                </c:pt>
                <c:pt idx="165">
                  <c:v>0.78824549913406305</c:v>
                </c:pt>
                <c:pt idx="166">
                  <c:v>0.89512062072753895</c:v>
                </c:pt>
                <c:pt idx="167">
                  <c:v>0.97021692991256703</c:v>
                </c:pt>
                <c:pt idx="168">
                  <c:v>0.91949021816253595</c:v>
                </c:pt>
                <c:pt idx="169">
                  <c:v>0.90895181894302302</c:v>
                </c:pt>
                <c:pt idx="170">
                  <c:v>0.92489695549011197</c:v>
                </c:pt>
                <c:pt idx="171">
                  <c:v>0.885978102684021</c:v>
                </c:pt>
                <c:pt idx="172">
                  <c:v>0.89914786815643299</c:v>
                </c:pt>
                <c:pt idx="173">
                  <c:v>0.26248088479041998</c:v>
                </c:pt>
                <c:pt idx="174">
                  <c:v>0.96561956405639604</c:v>
                </c:pt>
                <c:pt idx="175">
                  <c:v>0.95390343666076605</c:v>
                </c:pt>
                <c:pt idx="176">
                  <c:v>0.97165495157241799</c:v>
                </c:pt>
                <c:pt idx="177">
                  <c:v>0.95950073003768899</c:v>
                </c:pt>
                <c:pt idx="178">
                  <c:v>0.93043547868728604</c:v>
                </c:pt>
                <c:pt idx="179">
                  <c:v>0.87930327653884799</c:v>
                </c:pt>
                <c:pt idx="180">
                  <c:v>0.84611582756042403</c:v>
                </c:pt>
                <c:pt idx="181">
                  <c:v>0.95703518390655495</c:v>
                </c:pt>
                <c:pt idx="182">
                  <c:v>0.94528675079345703</c:v>
                </c:pt>
                <c:pt idx="183">
                  <c:v>0.96018421649932795</c:v>
                </c:pt>
                <c:pt idx="184">
                  <c:v>0.95622920989990201</c:v>
                </c:pt>
                <c:pt idx="185">
                  <c:v>0.94026255607604903</c:v>
                </c:pt>
                <c:pt idx="186">
                  <c:v>0.83876216411590498</c:v>
                </c:pt>
                <c:pt idx="187">
                  <c:v>0.91377472877502397</c:v>
                </c:pt>
              </c:numCache>
            </c:numRef>
          </c:xVal>
          <c:yVal>
            <c:numRef>
              <c:f>WT_fold0!$C$2:$C$189</c:f>
              <c:numCache>
                <c:formatCode>General</c:formatCode>
                <c:ptCount val="188"/>
                <c:pt idx="0">
                  <c:v>0.95742142200469904</c:v>
                </c:pt>
                <c:pt idx="1">
                  <c:v>0.91532599925994795</c:v>
                </c:pt>
                <c:pt idx="2">
                  <c:v>0.656876921653747</c:v>
                </c:pt>
                <c:pt idx="3">
                  <c:v>0.92033493518829301</c:v>
                </c:pt>
                <c:pt idx="4">
                  <c:v>0.77834510803222601</c:v>
                </c:pt>
                <c:pt idx="5">
                  <c:v>0.91887021064758301</c:v>
                </c:pt>
                <c:pt idx="6">
                  <c:v>0.94410860538482599</c:v>
                </c:pt>
                <c:pt idx="7">
                  <c:v>0.89248645305633501</c:v>
                </c:pt>
                <c:pt idx="8">
                  <c:v>0.94371205568313599</c:v>
                </c:pt>
                <c:pt idx="9">
                  <c:v>0.94015538692474299</c:v>
                </c:pt>
                <c:pt idx="10">
                  <c:v>0.87491875886917103</c:v>
                </c:pt>
                <c:pt idx="11">
                  <c:v>0.93936246633529596</c:v>
                </c:pt>
                <c:pt idx="12">
                  <c:v>0.88356894254684404</c:v>
                </c:pt>
                <c:pt idx="13">
                  <c:v>0.90753012895584095</c:v>
                </c:pt>
                <c:pt idx="14">
                  <c:v>0.90841454267501798</c:v>
                </c:pt>
                <c:pt idx="15">
                  <c:v>0.93410104513168302</c:v>
                </c:pt>
                <c:pt idx="16">
                  <c:v>0.91360098123550404</c:v>
                </c:pt>
                <c:pt idx="17">
                  <c:v>0.89167457818984897</c:v>
                </c:pt>
                <c:pt idx="18">
                  <c:v>0.90416711568832397</c:v>
                </c:pt>
                <c:pt idx="19">
                  <c:v>0.92216885089874201</c:v>
                </c:pt>
                <c:pt idx="20">
                  <c:v>0.62066143751144398</c:v>
                </c:pt>
                <c:pt idx="21">
                  <c:v>0.87333333492278997</c:v>
                </c:pt>
                <c:pt idx="22">
                  <c:v>0.848433136940002</c:v>
                </c:pt>
                <c:pt idx="23">
                  <c:v>0.93571579456329301</c:v>
                </c:pt>
                <c:pt idx="24">
                  <c:v>0.90363359451293901</c:v>
                </c:pt>
                <c:pt idx="25">
                  <c:v>0.95192492008209195</c:v>
                </c:pt>
                <c:pt idx="26">
                  <c:v>0.87088662385940496</c:v>
                </c:pt>
                <c:pt idx="27">
                  <c:v>0.852167189121246</c:v>
                </c:pt>
                <c:pt idx="28">
                  <c:v>0.93863874673843295</c:v>
                </c:pt>
                <c:pt idx="29">
                  <c:v>0.89679288864135698</c:v>
                </c:pt>
                <c:pt idx="30">
                  <c:v>0.82259202003479004</c:v>
                </c:pt>
                <c:pt idx="31">
                  <c:v>0.90177965164184504</c:v>
                </c:pt>
                <c:pt idx="32">
                  <c:v>0.89741587638854903</c:v>
                </c:pt>
                <c:pt idx="33">
                  <c:v>0.94390052556991499</c:v>
                </c:pt>
                <c:pt idx="34">
                  <c:v>0.85849893093109098</c:v>
                </c:pt>
                <c:pt idx="35">
                  <c:v>0.57756030559539795</c:v>
                </c:pt>
                <c:pt idx="36">
                  <c:v>0.78820163011550903</c:v>
                </c:pt>
                <c:pt idx="37">
                  <c:v>0.94301778078079201</c:v>
                </c:pt>
                <c:pt idx="38">
                  <c:v>0.82175970077514604</c:v>
                </c:pt>
                <c:pt idx="39">
                  <c:v>0.87264239788055398</c:v>
                </c:pt>
                <c:pt idx="40">
                  <c:v>0.84000390768051103</c:v>
                </c:pt>
                <c:pt idx="41">
                  <c:v>0.88895368576049805</c:v>
                </c:pt>
                <c:pt idx="42">
                  <c:v>0.66704511642455999</c:v>
                </c:pt>
                <c:pt idx="43">
                  <c:v>0.850905001163482</c:v>
                </c:pt>
                <c:pt idx="44">
                  <c:v>0.943817138671875</c:v>
                </c:pt>
                <c:pt idx="45">
                  <c:v>0.92747855186462402</c:v>
                </c:pt>
                <c:pt idx="46">
                  <c:v>0.82805621623992898</c:v>
                </c:pt>
                <c:pt idx="47">
                  <c:v>0.87911194562911898</c:v>
                </c:pt>
                <c:pt idx="48">
                  <c:v>0.93695551156997603</c:v>
                </c:pt>
                <c:pt idx="49">
                  <c:v>0.92996424436569203</c:v>
                </c:pt>
                <c:pt idx="50">
                  <c:v>0.90342944860458296</c:v>
                </c:pt>
                <c:pt idx="51">
                  <c:v>0.90346652269363403</c:v>
                </c:pt>
                <c:pt idx="52">
                  <c:v>0.91142165660858099</c:v>
                </c:pt>
                <c:pt idx="53">
                  <c:v>0.93342560529708796</c:v>
                </c:pt>
                <c:pt idx="54">
                  <c:v>0.89149916172027499</c:v>
                </c:pt>
                <c:pt idx="55">
                  <c:v>0.95032197237014704</c:v>
                </c:pt>
                <c:pt idx="56">
                  <c:v>1.8455693498253802E-2</c:v>
                </c:pt>
                <c:pt idx="57">
                  <c:v>0.86449253559112504</c:v>
                </c:pt>
                <c:pt idx="58">
                  <c:v>0.93099558353423995</c:v>
                </c:pt>
                <c:pt idx="59">
                  <c:v>0.94919997453689497</c:v>
                </c:pt>
                <c:pt idx="60">
                  <c:v>0.94028627872466997</c:v>
                </c:pt>
                <c:pt idx="61">
                  <c:v>0.90153014659881503</c:v>
                </c:pt>
                <c:pt idx="62">
                  <c:v>0.91999739408492998</c:v>
                </c:pt>
                <c:pt idx="63">
                  <c:v>0.878462255001068</c:v>
                </c:pt>
                <c:pt idx="64">
                  <c:v>0.93912893533706598</c:v>
                </c:pt>
                <c:pt idx="65">
                  <c:v>0.75545281171798695</c:v>
                </c:pt>
                <c:pt idx="66">
                  <c:v>0.76439684629440297</c:v>
                </c:pt>
                <c:pt idx="67">
                  <c:v>0.62513661384582497</c:v>
                </c:pt>
                <c:pt idx="68">
                  <c:v>0.93364119529724099</c:v>
                </c:pt>
                <c:pt idx="69">
                  <c:v>0.92519134283065796</c:v>
                </c:pt>
                <c:pt idx="70">
                  <c:v>0.94167977571487405</c:v>
                </c:pt>
                <c:pt idx="71">
                  <c:v>0.83892303705215399</c:v>
                </c:pt>
                <c:pt idx="72">
                  <c:v>0.93756419420242298</c:v>
                </c:pt>
                <c:pt idx="73">
                  <c:v>0.93465602397918701</c:v>
                </c:pt>
                <c:pt idx="74">
                  <c:v>0.87594634294509799</c:v>
                </c:pt>
                <c:pt idx="75">
                  <c:v>0.80772852897643999</c:v>
                </c:pt>
                <c:pt idx="76">
                  <c:v>0.880587518215179</c:v>
                </c:pt>
                <c:pt idx="77">
                  <c:v>0.90856057405471802</c:v>
                </c:pt>
                <c:pt idx="78">
                  <c:v>0.94046080112457198</c:v>
                </c:pt>
                <c:pt idx="79">
                  <c:v>0.93541568517684903</c:v>
                </c:pt>
                <c:pt idx="80">
                  <c:v>0.91569870710372903</c:v>
                </c:pt>
                <c:pt idx="81">
                  <c:v>0.91226089000701904</c:v>
                </c:pt>
                <c:pt idx="82">
                  <c:v>0.85079902410507202</c:v>
                </c:pt>
                <c:pt idx="83">
                  <c:v>0.84733855724334695</c:v>
                </c:pt>
                <c:pt idx="84">
                  <c:v>0.73704886436462402</c:v>
                </c:pt>
                <c:pt idx="85">
                  <c:v>0.92741793394088701</c:v>
                </c:pt>
                <c:pt idx="86">
                  <c:v>0.92840218544006303</c:v>
                </c:pt>
                <c:pt idx="87">
                  <c:v>0.82189780473709095</c:v>
                </c:pt>
                <c:pt idx="88">
                  <c:v>0.96211707592010498</c:v>
                </c:pt>
                <c:pt idx="89">
                  <c:v>0.950053930282592</c:v>
                </c:pt>
                <c:pt idx="90">
                  <c:v>0.89978706836700395</c:v>
                </c:pt>
                <c:pt idx="91">
                  <c:v>0.95303148031234697</c:v>
                </c:pt>
                <c:pt idx="92">
                  <c:v>0.89392578601837103</c:v>
                </c:pt>
                <c:pt idx="93">
                  <c:v>0.89725255966186501</c:v>
                </c:pt>
                <c:pt idx="94">
                  <c:v>0.84025502204894997</c:v>
                </c:pt>
                <c:pt idx="95">
                  <c:v>0.88866746425628595</c:v>
                </c:pt>
                <c:pt idx="96">
                  <c:v>0.71311360597610396</c:v>
                </c:pt>
                <c:pt idx="97">
                  <c:v>0.77541047334670998</c:v>
                </c:pt>
                <c:pt idx="98">
                  <c:v>0.92087888717651301</c:v>
                </c:pt>
                <c:pt idx="99">
                  <c:v>0.92856216430663996</c:v>
                </c:pt>
                <c:pt idx="100">
                  <c:v>0.93287378549575795</c:v>
                </c:pt>
                <c:pt idx="101">
                  <c:v>0.91446805000305098</c:v>
                </c:pt>
                <c:pt idx="102">
                  <c:v>0.937402844429016</c:v>
                </c:pt>
                <c:pt idx="103" formatCode="0.00E+00">
                  <c:v>2.9895366737697698E-10</c:v>
                </c:pt>
                <c:pt idx="104">
                  <c:v>0.95122134685516302</c:v>
                </c:pt>
                <c:pt idx="105" formatCode="0.00E+00">
                  <c:v>3.8284839187774299E-10</c:v>
                </c:pt>
                <c:pt idx="106">
                  <c:v>0.80525571107864302</c:v>
                </c:pt>
                <c:pt idx="107">
                  <c:v>0.95695066452026301</c:v>
                </c:pt>
                <c:pt idx="108">
                  <c:v>0.87134510278701705</c:v>
                </c:pt>
                <c:pt idx="109">
                  <c:v>0.84849750995635898</c:v>
                </c:pt>
                <c:pt idx="110">
                  <c:v>0.86255234479904097</c:v>
                </c:pt>
                <c:pt idx="111">
                  <c:v>0.80614781379699696</c:v>
                </c:pt>
                <c:pt idx="112">
                  <c:v>0.94137138128280595</c:v>
                </c:pt>
                <c:pt idx="113">
                  <c:v>0.95104283094406095</c:v>
                </c:pt>
                <c:pt idx="114">
                  <c:v>0.93817436695098799</c:v>
                </c:pt>
                <c:pt idx="115">
                  <c:v>0.90403163433074896</c:v>
                </c:pt>
                <c:pt idx="116">
                  <c:v>0.87822818756103505</c:v>
                </c:pt>
                <c:pt idx="117">
                  <c:v>0.89033895730972201</c:v>
                </c:pt>
                <c:pt idx="118">
                  <c:v>0.911587834358215</c:v>
                </c:pt>
                <c:pt idx="119">
                  <c:v>0.94423973560333196</c:v>
                </c:pt>
                <c:pt idx="120">
                  <c:v>0.93514621257781905</c:v>
                </c:pt>
                <c:pt idx="121">
                  <c:v>0.91874474287033003</c:v>
                </c:pt>
                <c:pt idx="122">
                  <c:v>0.934772789478302</c:v>
                </c:pt>
                <c:pt idx="123">
                  <c:v>0.90753144025802601</c:v>
                </c:pt>
                <c:pt idx="124">
                  <c:v>0.83536785840988104</c:v>
                </c:pt>
                <c:pt idx="125">
                  <c:v>0.91486406326293901</c:v>
                </c:pt>
                <c:pt idx="126">
                  <c:v>0.90901213884353604</c:v>
                </c:pt>
                <c:pt idx="127">
                  <c:v>0.93984198570251398</c:v>
                </c:pt>
                <c:pt idx="128">
                  <c:v>0.92336720228195102</c:v>
                </c:pt>
                <c:pt idx="129">
                  <c:v>0.91578042507171598</c:v>
                </c:pt>
                <c:pt idx="130">
                  <c:v>0.92712074518203702</c:v>
                </c:pt>
                <c:pt idx="131">
                  <c:v>0.73547554016113204</c:v>
                </c:pt>
                <c:pt idx="132">
                  <c:v>0.82999050617217995</c:v>
                </c:pt>
                <c:pt idx="133">
                  <c:v>0.91414546966552701</c:v>
                </c:pt>
                <c:pt idx="134">
                  <c:v>0.898931324481964</c:v>
                </c:pt>
                <c:pt idx="135">
                  <c:v>0.83445262908935502</c:v>
                </c:pt>
                <c:pt idx="136">
                  <c:v>0.88219213485717696</c:v>
                </c:pt>
                <c:pt idx="137">
                  <c:v>0.906704902648925</c:v>
                </c:pt>
                <c:pt idx="138">
                  <c:v>0.89220684766769398</c:v>
                </c:pt>
                <c:pt idx="139">
                  <c:v>0.76058763265609697</c:v>
                </c:pt>
                <c:pt idx="140">
                  <c:v>0.89695912599563599</c:v>
                </c:pt>
                <c:pt idx="141">
                  <c:v>0.93676686286926203</c:v>
                </c:pt>
                <c:pt idx="142">
                  <c:v>0.87740558385848999</c:v>
                </c:pt>
                <c:pt idx="143">
                  <c:v>0.90313750505447299</c:v>
                </c:pt>
                <c:pt idx="144">
                  <c:v>0.93924725055694502</c:v>
                </c:pt>
                <c:pt idx="145">
                  <c:v>0.92638587951660101</c:v>
                </c:pt>
                <c:pt idx="146">
                  <c:v>0.94943898916244496</c:v>
                </c:pt>
                <c:pt idx="147">
                  <c:v>0.92686951160430897</c:v>
                </c:pt>
                <c:pt idx="148">
                  <c:v>0.72543019056320102</c:v>
                </c:pt>
                <c:pt idx="149">
                  <c:v>0.87192076444625799</c:v>
                </c:pt>
                <c:pt idx="150">
                  <c:v>0.92951452732086104</c:v>
                </c:pt>
                <c:pt idx="151">
                  <c:v>0.906080722808837</c:v>
                </c:pt>
                <c:pt idx="152">
                  <c:v>0.93126475811004605</c:v>
                </c:pt>
                <c:pt idx="153">
                  <c:v>0.909384965896606</c:v>
                </c:pt>
                <c:pt idx="154">
                  <c:v>0.89244979619979803</c:v>
                </c:pt>
                <c:pt idx="155">
                  <c:v>0.77869647741317705</c:v>
                </c:pt>
                <c:pt idx="156">
                  <c:v>0.91336673498153598</c:v>
                </c:pt>
                <c:pt idx="157">
                  <c:v>0.95805406570434504</c:v>
                </c:pt>
                <c:pt idx="158">
                  <c:v>0.95131498575210505</c:v>
                </c:pt>
                <c:pt idx="159">
                  <c:v>0.92472165822982699</c:v>
                </c:pt>
                <c:pt idx="160">
                  <c:v>0.89102190732955899</c:v>
                </c:pt>
                <c:pt idx="161">
                  <c:v>0.92735612392425504</c:v>
                </c:pt>
                <c:pt idx="162">
                  <c:v>0.83420467376708896</c:v>
                </c:pt>
                <c:pt idx="163">
                  <c:v>0.84219062328338601</c:v>
                </c:pt>
                <c:pt idx="164">
                  <c:v>0.791642665863037</c:v>
                </c:pt>
                <c:pt idx="165">
                  <c:v>0.71863430738449097</c:v>
                </c:pt>
                <c:pt idx="166">
                  <c:v>0.92825204133987405</c:v>
                </c:pt>
                <c:pt idx="167">
                  <c:v>0.96806257963180498</c:v>
                </c:pt>
                <c:pt idx="168">
                  <c:v>0.88401573896408003</c:v>
                </c:pt>
                <c:pt idx="169">
                  <c:v>0.88315248489379805</c:v>
                </c:pt>
                <c:pt idx="170">
                  <c:v>0.84838455915451005</c:v>
                </c:pt>
                <c:pt idx="171">
                  <c:v>0.840054631233215</c:v>
                </c:pt>
                <c:pt idx="172">
                  <c:v>0.79356455802917403</c:v>
                </c:pt>
                <c:pt idx="173">
                  <c:v>0.25843846797943099</c:v>
                </c:pt>
                <c:pt idx="174">
                  <c:v>0.951055288314819</c:v>
                </c:pt>
                <c:pt idx="175">
                  <c:v>0.88378423452377297</c:v>
                </c:pt>
                <c:pt idx="176">
                  <c:v>0.94757407903671198</c:v>
                </c:pt>
                <c:pt idx="177">
                  <c:v>0.93008506298065097</c:v>
                </c:pt>
                <c:pt idx="178">
                  <c:v>0.89796411991119296</c:v>
                </c:pt>
                <c:pt idx="179">
                  <c:v>0.911962449550628</c:v>
                </c:pt>
                <c:pt idx="180">
                  <c:v>0.78712022304534901</c:v>
                </c:pt>
                <c:pt idx="181">
                  <c:v>0.92883729934692305</c:v>
                </c:pt>
                <c:pt idx="182">
                  <c:v>0.94440555572509699</c:v>
                </c:pt>
                <c:pt idx="183">
                  <c:v>0.92551273107528598</c:v>
                </c:pt>
                <c:pt idx="184">
                  <c:v>0.91529119014739901</c:v>
                </c:pt>
                <c:pt idx="185">
                  <c:v>0.91584199666976895</c:v>
                </c:pt>
                <c:pt idx="186">
                  <c:v>0.82979536056518499</c:v>
                </c:pt>
                <c:pt idx="187">
                  <c:v>0.82914215326309204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C-4D0D-A5EF-88D9BF2F8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199168"/>
        <c:axId val="1571197728"/>
      </c:scatterChart>
      <c:valAx>
        <c:axId val="15711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197728"/>
        <c:crosses val="autoZero"/>
        <c:crossBetween val="midCat"/>
      </c:valAx>
      <c:valAx>
        <c:axId val="157119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199168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ysClr val="windowText" lastClr="000000"/>
                </a:solidFill>
              </a:rPr>
              <a:t>DSC TC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TC_fold0!$C$1</c:f>
              <c:strCache>
                <c:ptCount val="1"/>
                <c:pt idx="0">
                  <c:v>dsc_TC_t2_t1ce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TC_fold0!$B$2:$B$189</c:f>
              <c:numCache>
                <c:formatCode>General</c:formatCode>
                <c:ptCount val="188"/>
                <c:pt idx="0">
                  <c:v>0.967876076698303</c:v>
                </c:pt>
                <c:pt idx="1">
                  <c:v>0.96003222465515103</c:v>
                </c:pt>
                <c:pt idx="2">
                  <c:v>0.85246843099594105</c:v>
                </c:pt>
                <c:pt idx="3">
                  <c:v>0.97149157524108798</c:v>
                </c:pt>
                <c:pt idx="4">
                  <c:v>0.79248660802841098</c:v>
                </c:pt>
                <c:pt idx="5">
                  <c:v>0.86868977546691895</c:v>
                </c:pt>
                <c:pt idx="6">
                  <c:v>0.91954386234283403</c:v>
                </c:pt>
                <c:pt idx="7">
                  <c:v>0.94435667991638095</c:v>
                </c:pt>
                <c:pt idx="8">
                  <c:v>0.973166704177856</c:v>
                </c:pt>
                <c:pt idx="9">
                  <c:v>0.89723175764083796</c:v>
                </c:pt>
                <c:pt idx="10">
                  <c:v>0.91193282604217496</c:v>
                </c:pt>
                <c:pt idx="11">
                  <c:v>0.96485346555709794</c:v>
                </c:pt>
                <c:pt idx="12">
                  <c:v>0.87360692024230902</c:v>
                </c:pt>
                <c:pt idx="13">
                  <c:v>0.90791720151901201</c:v>
                </c:pt>
                <c:pt idx="14">
                  <c:v>0.93234497308731001</c:v>
                </c:pt>
                <c:pt idx="15">
                  <c:v>0.94898885488510099</c:v>
                </c:pt>
                <c:pt idx="16">
                  <c:v>0.96697866916656405</c:v>
                </c:pt>
                <c:pt idx="17">
                  <c:v>0.96360486745834295</c:v>
                </c:pt>
                <c:pt idx="18">
                  <c:v>0.82969367504119795</c:v>
                </c:pt>
                <c:pt idx="19">
                  <c:v>0.97489088773727395</c:v>
                </c:pt>
                <c:pt idx="20">
                  <c:v>0.65458154678344704</c:v>
                </c:pt>
                <c:pt idx="21">
                  <c:v>0.79868346452713002</c:v>
                </c:pt>
                <c:pt idx="22">
                  <c:v>0.88223242759704501</c:v>
                </c:pt>
                <c:pt idx="23">
                  <c:v>0.86466085910797097</c:v>
                </c:pt>
                <c:pt idx="24">
                  <c:v>0.92716246843338002</c:v>
                </c:pt>
                <c:pt idx="25">
                  <c:v>0.91516995429992598</c:v>
                </c:pt>
                <c:pt idx="26">
                  <c:v>0.72413790225982599</c:v>
                </c:pt>
                <c:pt idx="27">
                  <c:v>0.90657985210418701</c:v>
                </c:pt>
                <c:pt idx="28">
                  <c:v>0.95413339138030995</c:v>
                </c:pt>
                <c:pt idx="29">
                  <c:v>0.90929418802261297</c:v>
                </c:pt>
                <c:pt idx="30">
                  <c:v>0.88212102651596003</c:v>
                </c:pt>
                <c:pt idx="31">
                  <c:v>0.94212412834167403</c:v>
                </c:pt>
                <c:pt idx="32">
                  <c:v>0.92381882667541504</c:v>
                </c:pt>
                <c:pt idx="33">
                  <c:v>0.96986687183380105</c:v>
                </c:pt>
                <c:pt idx="34">
                  <c:v>0.90333330631256104</c:v>
                </c:pt>
                <c:pt idx="35">
                  <c:v>0.48645117878913802</c:v>
                </c:pt>
                <c:pt idx="36">
                  <c:v>0.68416732549667303</c:v>
                </c:pt>
                <c:pt idx="37">
                  <c:v>0.95517444610595703</c:v>
                </c:pt>
                <c:pt idx="38">
                  <c:v>0.82316827774047796</c:v>
                </c:pt>
                <c:pt idx="39">
                  <c:v>0.87795394659042303</c:v>
                </c:pt>
                <c:pt idx="40" formatCode="0.00E+00">
                  <c:v>2.3769908263915299E-10</c:v>
                </c:pt>
                <c:pt idx="41">
                  <c:v>0.91924315690994196</c:v>
                </c:pt>
                <c:pt idx="42">
                  <c:v>0.95523005723953203</c:v>
                </c:pt>
                <c:pt idx="43">
                  <c:v>0.54991120100021296</c:v>
                </c:pt>
                <c:pt idx="44">
                  <c:v>0.95835375785827603</c:v>
                </c:pt>
                <c:pt idx="45">
                  <c:v>0.97022658586501997</c:v>
                </c:pt>
                <c:pt idx="46">
                  <c:v>0.83945596218109098</c:v>
                </c:pt>
                <c:pt idx="47">
                  <c:v>0.90028721094131403</c:v>
                </c:pt>
                <c:pt idx="48">
                  <c:v>0.973863124847412</c:v>
                </c:pt>
                <c:pt idx="49">
                  <c:v>0.96446561813354403</c:v>
                </c:pt>
                <c:pt idx="50">
                  <c:v>0.953466176986694</c:v>
                </c:pt>
                <c:pt idx="51">
                  <c:v>0.91789144277572599</c:v>
                </c:pt>
                <c:pt idx="52">
                  <c:v>0.96477794647216797</c:v>
                </c:pt>
                <c:pt idx="53">
                  <c:v>0.88049012422561601</c:v>
                </c:pt>
                <c:pt idx="54">
                  <c:v>0.72885644435882502</c:v>
                </c:pt>
                <c:pt idx="55">
                  <c:v>0.97872424125671298</c:v>
                </c:pt>
                <c:pt idx="56">
                  <c:v>0.70422536134719804</c:v>
                </c:pt>
                <c:pt idx="57">
                  <c:v>0.958812475204467</c:v>
                </c:pt>
                <c:pt idx="58">
                  <c:v>0.95829379558563199</c:v>
                </c:pt>
                <c:pt idx="59">
                  <c:v>0.93899571895599299</c:v>
                </c:pt>
                <c:pt idx="60">
                  <c:v>0.97533380985259999</c:v>
                </c:pt>
                <c:pt idx="61">
                  <c:v>0.93606609106063798</c:v>
                </c:pt>
                <c:pt idx="62">
                  <c:v>0.94075679779052701</c:v>
                </c:pt>
                <c:pt idx="63">
                  <c:v>0.92975288629531805</c:v>
                </c:pt>
                <c:pt idx="64">
                  <c:v>0.97488749027252197</c:v>
                </c:pt>
                <c:pt idx="65">
                  <c:v>0.95633327960967995</c:v>
                </c:pt>
                <c:pt idx="66">
                  <c:v>0.93773484230041504</c:v>
                </c:pt>
                <c:pt idx="67">
                  <c:v>0.95125627517700195</c:v>
                </c:pt>
                <c:pt idx="68">
                  <c:v>0.92923647165298395</c:v>
                </c:pt>
                <c:pt idx="69">
                  <c:v>0.94997912645339899</c:v>
                </c:pt>
                <c:pt idx="70">
                  <c:v>0.91983908414840698</c:v>
                </c:pt>
                <c:pt idx="71">
                  <c:v>0.84611743688583296</c:v>
                </c:pt>
                <c:pt idx="72">
                  <c:v>0.946524798870086</c:v>
                </c:pt>
                <c:pt idx="73">
                  <c:v>0.96493959426879805</c:v>
                </c:pt>
                <c:pt idx="74">
                  <c:v>0.96503448486328103</c:v>
                </c:pt>
                <c:pt idx="75">
                  <c:v>0.89908593893051103</c:v>
                </c:pt>
                <c:pt idx="76">
                  <c:v>0.91767126321792603</c:v>
                </c:pt>
                <c:pt idx="77">
                  <c:v>0.96088331937789895</c:v>
                </c:pt>
                <c:pt idx="78">
                  <c:v>0.96579986810684204</c:v>
                </c:pt>
                <c:pt idx="79">
                  <c:v>0.97509729862213101</c:v>
                </c:pt>
                <c:pt idx="80">
                  <c:v>0.96498441696166903</c:v>
                </c:pt>
                <c:pt idx="81">
                  <c:v>0.92775171995162897</c:v>
                </c:pt>
                <c:pt idx="82">
                  <c:v>0.557167649269104</c:v>
                </c:pt>
                <c:pt idx="83">
                  <c:v>0.88839650154113703</c:v>
                </c:pt>
                <c:pt idx="84">
                  <c:v>0.58134281635284402</c:v>
                </c:pt>
                <c:pt idx="85">
                  <c:v>0.92476129531860296</c:v>
                </c:pt>
                <c:pt idx="86">
                  <c:v>0.94287252426147405</c:v>
                </c:pt>
                <c:pt idx="87">
                  <c:v>0.93323332071304299</c:v>
                </c:pt>
                <c:pt idx="88">
                  <c:v>0.97127205133438099</c:v>
                </c:pt>
                <c:pt idx="89">
                  <c:v>0.88921141624450595</c:v>
                </c:pt>
                <c:pt idx="90">
                  <c:v>0.75328648090362504</c:v>
                </c:pt>
                <c:pt idx="91">
                  <c:v>0.92463111877441395</c:v>
                </c:pt>
                <c:pt idx="92">
                  <c:v>0.57340800762176503</c:v>
                </c:pt>
                <c:pt idx="93">
                  <c:v>0.96586495637893599</c:v>
                </c:pt>
                <c:pt idx="94">
                  <c:v>0.95962208509445102</c:v>
                </c:pt>
                <c:pt idx="95">
                  <c:v>0.84186244010925204</c:v>
                </c:pt>
                <c:pt idx="96">
                  <c:v>0.89511328935623102</c:v>
                </c:pt>
                <c:pt idx="97">
                  <c:v>0.92359018325805597</c:v>
                </c:pt>
                <c:pt idx="98">
                  <c:v>0.94263076782226496</c:v>
                </c:pt>
                <c:pt idx="99">
                  <c:v>0.96625453233718805</c:v>
                </c:pt>
                <c:pt idx="100">
                  <c:v>0.95345956087112405</c:v>
                </c:pt>
                <c:pt idx="101">
                  <c:v>0.96519589424133301</c:v>
                </c:pt>
                <c:pt idx="102">
                  <c:v>0.96994394063949496</c:v>
                </c:pt>
                <c:pt idx="103">
                  <c:v>0.66197180747985795</c:v>
                </c:pt>
                <c:pt idx="104">
                  <c:v>0.96730077266693104</c:v>
                </c:pt>
                <c:pt idx="105">
                  <c:v>0.88133138418197599</c:v>
                </c:pt>
                <c:pt idx="106">
                  <c:v>0.80394798517227095</c:v>
                </c:pt>
                <c:pt idx="107">
                  <c:v>0.97206413745880105</c:v>
                </c:pt>
                <c:pt idx="108">
                  <c:v>0.95559179782867398</c:v>
                </c:pt>
                <c:pt idx="109">
                  <c:v>0.906685650348663</c:v>
                </c:pt>
                <c:pt idx="110">
                  <c:v>0.15619693696498799</c:v>
                </c:pt>
                <c:pt idx="111">
                  <c:v>0.96696734428405695</c:v>
                </c:pt>
                <c:pt idx="112">
                  <c:v>0.95661884546279896</c:v>
                </c:pt>
                <c:pt idx="113">
                  <c:v>0.96597123146057096</c:v>
                </c:pt>
                <c:pt idx="114">
                  <c:v>0.95727503299713101</c:v>
                </c:pt>
                <c:pt idx="115">
                  <c:v>0.81765049695968595</c:v>
                </c:pt>
                <c:pt idx="116">
                  <c:v>0.96341460943222001</c:v>
                </c:pt>
                <c:pt idx="117">
                  <c:v>0.88103771209716797</c:v>
                </c:pt>
                <c:pt idx="118">
                  <c:v>0.96216571331024103</c:v>
                </c:pt>
                <c:pt idx="119">
                  <c:v>0.93832862377166704</c:v>
                </c:pt>
                <c:pt idx="120">
                  <c:v>0.96642684936523404</c:v>
                </c:pt>
                <c:pt idx="121">
                  <c:v>0.95615369081497104</c:v>
                </c:pt>
                <c:pt idx="122">
                  <c:v>0.95420455932617099</c:v>
                </c:pt>
                <c:pt idx="123">
                  <c:v>0.831487596035003</c:v>
                </c:pt>
                <c:pt idx="124">
                  <c:v>0.83370715379714899</c:v>
                </c:pt>
                <c:pt idx="125">
                  <c:v>0.95977687835693304</c:v>
                </c:pt>
                <c:pt idx="126">
                  <c:v>0.95483869314193703</c:v>
                </c:pt>
                <c:pt idx="127">
                  <c:v>0.95962613821029596</c:v>
                </c:pt>
                <c:pt idx="128">
                  <c:v>0.97228538990020696</c:v>
                </c:pt>
                <c:pt idx="129">
                  <c:v>0.96578902006149203</c:v>
                </c:pt>
                <c:pt idx="130">
                  <c:v>0.95088666677474898</c:v>
                </c:pt>
                <c:pt idx="131">
                  <c:v>0.85570865869522095</c:v>
                </c:pt>
                <c:pt idx="132">
                  <c:v>0.45945337414741499</c:v>
                </c:pt>
                <c:pt idx="133">
                  <c:v>0.95625084638595503</c:v>
                </c:pt>
                <c:pt idx="134">
                  <c:v>0.95708447694778398</c:v>
                </c:pt>
                <c:pt idx="135">
                  <c:v>0.95508539676666204</c:v>
                </c:pt>
                <c:pt idx="136">
                  <c:v>0.94378232955932595</c:v>
                </c:pt>
                <c:pt idx="137">
                  <c:v>0.96700584888458196</c:v>
                </c:pt>
                <c:pt idx="138">
                  <c:v>0.94982200860977095</c:v>
                </c:pt>
                <c:pt idx="139">
                  <c:v>0.85451120138168302</c:v>
                </c:pt>
                <c:pt idx="140">
                  <c:v>0.94872170686721802</c:v>
                </c:pt>
                <c:pt idx="141">
                  <c:v>0.96836358308792103</c:v>
                </c:pt>
                <c:pt idx="142">
                  <c:v>0.91653895378112704</c:v>
                </c:pt>
                <c:pt idx="143">
                  <c:v>0.93103647232055597</c:v>
                </c:pt>
                <c:pt idx="144">
                  <c:v>0.96601468324661199</c:v>
                </c:pt>
                <c:pt idx="145">
                  <c:v>0.96401268243789595</c:v>
                </c:pt>
                <c:pt idx="146">
                  <c:v>0.93813234567642201</c:v>
                </c:pt>
                <c:pt idx="147">
                  <c:v>0.97094941139221103</c:v>
                </c:pt>
                <c:pt idx="148">
                  <c:v>0.89195197820663397</c:v>
                </c:pt>
                <c:pt idx="149">
                  <c:v>0.96350467205047596</c:v>
                </c:pt>
                <c:pt idx="150">
                  <c:v>0.96075838804244995</c:v>
                </c:pt>
                <c:pt idx="151">
                  <c:v>0.945992171764373</c:v>
                </c:pt>
                <c:pt idx="152">
                  <c:v>0.95811247825622503</c:v>
                </c:pt>
                <c:pt idx="153">
                  <c:v>0.97131884098052901</c:v>
                </c:pt>
                <c:pt idx="154">
                  <c:v>0.93762630224227905</c:v>
                </c:pt>
                <c:pt idx="155">
                  <c:v>0.92790168523788397</c:v>
                </c:pt>
                <c:pt idx="156">
                  <c:v>0.76263183355331399</c:v>
                </c:pt>
                <c:pt idx="157">
                  <c:v>0.94212460517883301</c:v>
                </c:pt>
                <c:pt idx="158">
                  <c:v>0.63383817672729403</c:v>
                </c:pt>
                <c:pt idx="159">
                  <c:v>0.96008509397506703</c:v>
                </c:pt>
                <c:pt idx="160">
                  <c:v>0.865545153617858</c:v>
                </c:pt>
                <c:pt idx="161">
                  <c:v>0.94862383604049605</c:v>
                </c:pt>
                <c:pt idx="162">
                  <c:v>0.83004134893417303</c:v>
                </c:pt>
                <c:pt idx="163">
                  <c:v>0.88483566045761097</c:v>
                </c:pt>
                <c:pt idx="164">
                  <c:v>0.17450970411300601</c:v>
                </c:pt>
                <c:pt idx="165">
                  <c:v>0.87843763828277499</c:v>
                </c:pt>
                <c:pt idx="166">
                  <c:v>0.92770069837570102</c:v>
                </c:pt>
                <c:pt idx="167">
                  <c:v>0.86655825376510598</c:v>
                </c:pt>
                <c:pt idx="168">
                  <c:v>0.673439741134643</c:v>
                </c:pt>
                <c:pt idx="169">
                  <c:v>0.95303690433502197</c:v>
                </c:pt>
                <c:pt idx="170">
                  <c:v>0.93240809440612704</c:v>
                </c:pt>
                <c:pt idx="171">
                  <c:v>0.92542117834091098</c:v>
                </c:pt>
                <c:pt idx="172">
                  <c:v>0.95162093639373702</c:v>
                </c:pt>
                <c:pt idx="173">
                  <c:v>0.87257385253906194</c:v>
                </c:pt>
                <c:pt idx="174">
                  <c:v>0.95500969886779696</c:v>
                </c:pt>
                <c:pt idx="175">
                  <c:v>0.96108090877532903</c:v>
                </c:pt>
                <c:pt idx="176">
                  <c:v>0.97105425596237105</c:v>
                </c:pt>
                <c:pt idx="177">
                  <c:v>0.96224969625473</c:v>
                </c:pt>
                <c:pt idx="178">
                  <c:v>0.94272035360336304</c:v>
                </c:pt>
                <c:pt idx="179">
                  <c:v>0.93865513801574696</c:v>
                </c:pt>
                <c:pt idx="180">
                  <c:v>0.83234345912933305</c:v>
                </c:pt>
                <c:pt idx="181">
                  <c:v>0.95531952381134</c:v>
                </c:pt>
                <c:pt idx="182">
                  <c:v>0.93283015489578203</c:v>
                </c:pt>
                <c:pt idx="183">
                  <c:v>0.96124339103698697</c:v>
                </c:pt>
                <c:pt idx="184">
                  <c:v>0.86336034536361606</c:v>
                </c:pt>
                <c:pt idx="185">
                  <c:v>0.12175878137350001</c:v>
                </c:pt>
                <c:pt idx="186">
                  <c:v>0.96484309434890703</c:v>
                </c:pt>
                <c:pt idx="187">
                  <c:v>0.93518310785293501</c:v>
                </c:pt>
              </c:numCache>
            </c:numRef>
          </c:xVal>
          <c:yVal>
            <c:numRef>
              <c:f>TC_fold0!$C$2:$C$189</c:f>
              <c:numCache>
                <c:formatCode>General</c:formatCode>
                <c:ptCount val="188"/>
                <c:pt idx="0">
                  <c:v>0.971485376358032</c:v>
                </c:pt>
                <c:pt idx="1">
                  <c:v>0.96076631546020497</c:v>
                </c:pt>
                <c:pt idx="2">
                  <c:v>0.83052814006805398</c:v>
                </c:pt>
                <c:pt idx="3">
                  <c:v>0.96463137865066495</c:v>
                </c:pt>
                <c:pt idx="4">
                  <c:v>0.82490271329879705</c:v>
                </c:pt>
                <c:pt idx="5">
                  <c:v>0.86034226417541504</c:v>
                </c:pt>
                <c:pt idx="6">
                  <c:v>0.92712879180908203</c:v>
                </c:pt>
                <c:pt idx="7">
                  <c:v>0.95322793722152699</c:v>
                </c:pt>
                <c:pt idx="8">
                  <c:v>0.97186213731765703</c:v>
                </c:pt>
                <c:pt idx="9">
                  <c:v>0.90684258937835605</c:v>
                </c:pt>
                <c:pt idx="10">
                  <c:v>0.90928918123245195</c:v>
                </c:pt>
                <c:pt idx="11">
                  <c:v>0.96926850080490101</c:v>
                </c:pt>
                <c:pt idx="12">
                  <c:v>0.84093040227890004</c:v>
                </c:pt>
                <c:pt idx="13">
                  <c:v>0.92378717660903897</c:v>
                </c:pt>
                <c:pt idx="14">
                  <c:v>0.92661476135253895</c:v>
                </c:pt>
                <c:pt idx="15">
                  <c:v>0.93509989976882901</c:v>
                </c:pt>
                <c:pt idx="16">
                  <c:v>0.96981668472289995</c:v>
                </c:pt>
                <c:pt idx="17">
                  <c:v>0.96467572450637795</c:v>
                </c:pt>
                <c:pt idx="18">
                  <c:v>0.86146456003188998</c:v>
                </c:pt>
                <c:pt idx="19">
                  <c:v>0.97349244356155396</c:v>
                </c:pt>
                <c:pt idx="20">
                  <c:v>0.52178603410720803</c:v>
                </c:pt>
                <c:pt idx="21">
                  <c:v>0.53980892896652199</c:v>
                </c:pt>
                <c:pt idx="22">
                  <c:v>0.89738690853118896</c:v>
                </c:pt>
                <c:pt idx="23">
                  <c:v>0.89216643571853604</c:v>
                </c:pt>
                <c:pt idx="24">
                  <c:v>0.90888786315917902</c:v>
                </c:pt>
                <c:pt idx="25">
                  <c:v>0.91806089878082198</c:v>
                </c:pt>
                <c:pt idx="26">
                  <c:v>0.32544377446174599</c:v>
                </c:pt>
                <c:pt idx="27">
                  <c:v>0.90582078695297197</c:v>
                </c:pt>
                <c:pt idx="28">
                  <c:v>0.95725351572036699</c:v>
                </c:pt>
                <c:pt idx="29">
                  <c:v>0.89958626031875599</c:v>
                </c:pt>
                <c:pt idx="30">
                  <c:v>0.86730217933654696</c:v>
                </c:pt>
                <c:pt idx="31">
                  <c:v>0.95163059234619096</c:v>
                </c:pt>
                <c:pt idx="32">
                  <c:v>0.91969072818756104</c:v>
                </c:pt>
                <c:pt idx="33">
                  <c:v>0.96960550546646096</c:v>
                </c:pt>
                <c:pt idx="34">
                  <c:v>0.89691960811614901</c:v>
                </c:pt>
                <c:pt idx="35">
                  <c:v>0.56038391590118397</c:v>
                </c:pt>
                <c:pt idx="36">
                  <c:v>0.60919541120529097</c:v>
                </c:pt>
                <c:pt idx="37">
                  <c:v>0.95106941461563099</c:v>
                </c:pt>
                <c:pt idx="38">
                  <c:v>0.76579004526138295</c:v>
                </c:pt>
                <c:pt idx="39">
                  <c:v>0.85576170682907104</c:v>
                </c:pt>
                <c:pt idx="40" formatCode="0.00E+00">
                  <c:v>3.9952058328296403E-10</c:v>
                </c:pt>
                <c:pt idx="41">
                  <c:v>0.87746769189834595</c:v>
                </c:pt>
                <c:pt idx="42">
                  <c:v>0.95373737812042203</c:v>
                </c:pt>
                <c:pt idx="43">
                  <c:v>0.68831330537795998</c:v>
                </c:pt>
                <c:pt idx="44">
                  <c:v>0.94408327341079701</c:v>
                </c:pt>
                <c:pt idx="45">
                  <c:v>0.969654381275177</c:v>
                </c:pt>
                <c:pt idx="46">
                  <c:v>0.888538599014282</c:v>
                </c:pt>
                <c:pt idx="47">
                  <c:v>0.93366992473602295</c:v>
                </c:pt>
                <c:pt idx="48">
                  <c:v>0.96955096721649103</c:v>
                </c:pt>
                <c:pt idx="49">
                  <c:v>0.95822322368621804</c:v>
                </c:pt>
                <c:pt idx="50">
                  <c:v>0.94547742605209295</c:v>
                </c:pt>
                <c:pt idx="51">
                  <c:v>0.91970801353454501</c:v>
                </c:pt>
                <c:pt idx="52">
                  <c:v>0.96668970584869296</c:v>
                </c:pt>
                <c:pt idx="53">
                  <c:v>0.89120012521743697</c:v>
                </c:pt>
                <c:pt idx="54">
                  <c:v>0.72993361949920599</c:v>
                </c:pt>
                <c:pt idx="55">
                  <c:v>0.97651934623718195</c:v>
                </c:pt>
                <c:pt idx="56" formatCode="0.00E+00">
                  <c:v>1.23456791456533E-8</c:v>
                </c:pt>
                <c:pt idx="57">
                  <c:v>0.95371145009994496</c:v>
                </c:pt>
                <c:pt idx="58">
                  <c:v>0.95779448747634799</c:v>
                </c:pt>
                <c:pt idx="59">
                  <c:v>0.92086738348007202</c:v>
                </c:pt>
                <c:pt idx="60">
                  <c:v>0.97178375720977705</c:v>
                </c:pt>
                <c:pt idx="61">
                  <c:v>0.917777299880981</c:v>
                </c:pt>
                <c:pt idx="62">
                  <c:v>0.94457536935806197</c:v>
                </c:pt>
                <c:pt idx="63">
                  <c:v>0.928866267204284</c:v>
                </c:pt>
                <c:pt idx="64">
                  <c:v>0.96886795759201005</c:v>
                </c:pt>
                <c:pt idx="65">
                  <c:v>0.95016503334045399</c:v>
                </c:pt>
                <c:pt idx="66">
                  <c:v>0.92151862382888705</c:v>
                </c:pt>
                <c:pt idx="67">
                  <c:v>0.93425112962722701</c:v>
                </c:pt>
                <c:pt idx="68">
                  <c:v>0.93232792615890503</c:v>
                </c:pt>
                <c:pt idx="69">
                  <c:v>0.93030214309692305</c:v>
                </c:pt>
                <c:pt idx="70">
                  <c:v>0.90289795398712103</c:v>
                </c:pt>
                <c:pt idx="71">
                  <c:v>0.85988050699233998</c:v>
                </c:pt>
                <c:pt idx="72">
                  <c:v>0.95510476827621404</c:v>
                </c:pt>
                <c:pt idx="73">
                  <c:v>0.95733165740966797</c:v>
                </c:pt>
                <c:pt idx="74">
                  <c:v>0.96627724170684803</c:v>
                </c:pt>
                <c:pt idx="75">
                  <c:v>0.89744031429290705</c:v>
                </c:pt>
                <c:pt idx="76">
                  <c:v>0.91465640068054199</c:v>
                </c:pt>
                <c:pt idx="77">
                  <c:v>0.93633157014846802</c:v>
                </c:pt>
                <c:pt idx="78">
                  <c:v>0.96339327096938998</c:v>
                </c:pt>
                <c:pt idx="79">
                  <c:v>0.96742302179336503</c:v>
                </c:pt>
                <c:pt idx="80">
                  <c:v>0.95711064338684004</c:v>
                </c:pt>
                <c:pt idx="81">
                  <c:v>0.93382906913757302</c:v>
                </c:pt>
                <c:pt idx="82">
                  <c:v>0.63333308696746804</c:v>
                </c:pt>
                <c:pt idx="83">
                  <c:v>0.89245510101318304</c:v>
                </c:pt>
                <c:pt idx="84">
                  <c:v>0.73073643445968595</c:v>
                </c:pt>
                <c:pt idx="85">
                  <c:v>0.932087182998657</c:v>
                </c:pt>
                <c:pt idx="86">
                  <c:v>0.94798851013183505</c:v>
                </c:pt>
                <c:pt idx="87">
                  <c:v>0.95015835762023904</c:v>
                </c:pt>
                <c:pt idx="88">
                  <c:v>0.96755862236022905</c:v>
                </c:pt>
                <c:pt idx="89">
                  <c:v>0.89304029941558805</c:v>
                </c:pt>
                <c:pt idx="90">
                  <c:v>0.79300969839096003</c:v>
                </c:pt>
                <c:pt idx="91">
                  <c:v>0.95389091968536299</c:v>
                </c:pt>
                <c:pt idx="92">
                  <c:v>0.75612080097198398</c:v>
                </c:pt>
                <c:pt idx="93">
                  <c:v>0.95903462171554499</c:v>
                </c:pt>
                <c:pt idx="94">
                  <c:v>0.93259131908416704</c:v>
                </c:pt>
                <c:pt idx="95">
                  <c:v>0.84010291099548295</c:v>
                </c:pt>
                <c:pt idx="96">
                  <c:v>0.89188891649246205</c:v>
                </c:pt>
                <c:pt idx="97">
                  <c:v>0.92532199621200495</c:v>
                </c:pt>
                <c:pt idx="98">
                  <c:v>0.94686907529830899</c:v>
                </c:pt>
                <c:pt idx="99">
                  <c:v>0.96175950765609697</c:v>
                </c:pt>
                <c:pt idx="100">
                  <c:v>0.95318108797073298</c:v>
                </c:pt>
                <c:pt idx="101">
                  <c:v>0.95683872699737504</c:v>
                </c:pt>
                <c:pt idx="102">
                  <c:v>0.97484982013702304</c:v>
                </c:pt>
                <c:pt idx="103" formatCode="0.00E+00">
                  <c:v>9.1743119767784199E-9</c:v>
                </c:pt>
                <c:pt idx="104">
                  <c:v>0.96501314640045099</c:v>
                </c:pt>
                <c:pt idx="105" formatCode="0.00E+00">
                  <c:v>1.4992503905020201E-9</c:v>
                </c:pt>
                <c:pt idx="106">
                  <c:v>0.70770364999771096</c:v>
                </c:pt>
                <c:pt idx="107">
                  <c:v>0.96207457780838002</c:v>
                </c:pt>
                <c:pt idx="108">
                  <c:v>0.93190014362335205</c:v>
                </c:pt>
                <c:pt idx="109">
                  <c:v>0.91484624147415095</c:v>
                </c:pt>
                <c:pt idx="110">
                  <c:v>0.113537117838859</c:v>
                </c:pt>
                <c:pt idx="111">
                  <c:v>0.96725374460220304</c:v>
                </c:pt>
                <c:pt idx="112">
                  <c:v>0.95956176519393899</c:v>
                </c:pt>
                <c:pt idx="113">
                  <c:v>0.96529549360275202</c:v>
                </c:pt>
                <c:pt idx="114">
                  <c:v>0.95541793107986395</c:v>
                </c:pt>
                <c:pt idx="115">
                  <c:v>0.85924828052520696</c:v>
                </c:pt>
                <c:pt idx="116">
                  <c:v>0.95967024564742998</c:v>
                </c:pt>
                <c:pt idx="117">
                  <c:v>0.89603352546691895</c:v>
                </c:pt>
                <c:pt idx="118">
                  <c:v>0.95344442129135099</c:v>
                </c:pt>
                <c:pt idx="119">
                  <c:v>0.90572679042816095</c:v>
                </c:pt>
                <c:pt idx="120">
                  <c:v>0.95759642124176003</c:v>
                </c:pt>
                <c:pt idx="121">
                  <c:v>0.96006464958190896</c:v>
                </c:pt>
                <c:pt idx="122">
                  <c:v>0.94270223379135099</c:v>
                </c:pt>
                <c:pt idx="123">
                  <c:v>0.86850470304489102</c:v>
                </c:pt>
                <c:pt idx="124">
                  <c:v>0.90881401300430298</c:v>
                </c:pt>
                <c:pt idx="125">
                  <c:v>0.94199019670486395</c:v>
                </c:pt>
                <c:pt idx="126">
                  <c:v>0.94916284084320002</c:v>
                </c:pt>
                <c:pt idx="127">
                  <c:v>0.95930737257003695</c:v>
                </c:pt>
                <c:pt idx="128">
                  <c:v>0.96313107013702304</c:v>
                </c:pt>
                <c:pt idx="129">
                  <c:v>0.96665722131729104</c:v>
                </c:pt>
                <c:pt idx="130">
                  <c:v>0.95457959175109797</c:v>
                </c:pt>
                <c:pt idx="131">
                  <c:v>0.77529597282409601</c:v>
                </c:pt>
                <c:pt idx="132">
                  <c:v>0.29608473181724498</c:v>
                </c:pt>
                <c:pt idx="133">
                  <c:v>0.94805228710174505</c:v>
                </c:pt>
                <c:pt idx="134">
                  <c:v>0.95979499816894498</c:v>
                </c:pt>
                <c:pt idx="135">
                  <c:v>0.94603598117828303</c:v>
                </c:pt>
                <c:pt idx="136">
                  <c:v>0.944335997104644</c:v>
                </c:pt>
                <c:pt idx="137">
                  <c:v>0.96669751405715898</c:v>
                </c:pt>
                <c:pt idx="138">
                  <c:v>0.91844922304153398</c:v>
                </c:pt>
                <c:pt idx="139">
                  <c:v>0.83644229173660201</c:v>
                </c:pt>
                <c:pt idx="140">
                  <c:v>0.94724017381668002</c:v>
                </c:pt>
                <c:pt idx="141">
                  <c:v>0.96350222826003995</c:v>
                </c:pt>
                <c:pt idx="142">
                  <c:v>0.95671600103378296</c:v>
                </c:pt>
                <c:pt idx="143">
                  <c:v>0.91106194257736195</c:v>
                </c:pt>
                <c:pt idx="144">
                  <c:v>0.95777153968811002</c:v>
                </c:pt>
                <c:pt idx="145">
                  <c:v>0.96314507722854603</c:v>
                </c:pt>
                <c:pt idx="146">
                  <c:v>0.93111056089401201</c:v>
                </c:pt>
                <c:pt idx="147">
                  <c:v>0.97008413076400701</c:v>
                </c:pt>
                <c:pt idx="148">
                  <c:v>0.85975611209869296</c:v>
                </c:pt>
                <c:pt idx="149">
                  <c:v>0.94309645891189497</c:v>
                </c:pt>
                <c:pt idx="150">
                  <c:v>0.94225972890853804</c:v>
                </c:pt>
                <c:pt idx="151">
                  <c:v>0.94596683979034402</c:v>
                </c:pt>
                <c:pt idx="152">
                  <c:v>0.95496213436126698</c:v>
                </c:pt>
                <c:pt idx="153">
                  <c:v>0.96686327457427901</c:v>
                </c:pt>
                <c:pt idx="154">
                  <c:v>0.92950308322906405</c:v>
                </c:pt>
                <c:pt idx="155">
                  <c:v>0.91085588932037298</c:v>
                </c:pt>
                <c:pt idx="156">
                  <c:v>0.75081819295883101</c:v>
                </c:pt>
                <c:pt idx="157">
                  <c:v>0.93725007772445601</c:v>
                </c:pt>
                <c:pt idx="158">
                  <c:v>0.60723787546157804</c:v>
                </c:pt>
                <c:pt idx="159">
                  <c:v>0.97078412771224898</c:v>
                </c:pt>
                <c:pt idx="160">
                  <c:v>0.85898315906524603</c:v>
                </c:pt>
                <c:pt idx="161">
                  <c:v>0.94906914234161299</c:v>
                </c:pt>
                <c:pt idx="162">
                  <c:v>0.83286386728286699</c:v>
                </c:pt>
                <c:pt idx="163">
                  <c:v>0.86777436733245805</c:v>
                </c:pt>
                <c:pt idx="164">
                  <c:v>0.18033683300018299</c:v>
                </c:pt>
                <c:pt idx="165">
                  <c:v>0.86204206943511896</c:v>
                </c:pt>
                <c:pt idx="166">
                  <c:v>0.92977744340896595</c:v>
                </c:pt>
                <c:pt idx="167">
                  <c:v>0.85562002658843905</c:v>
                </c:pt>
                <c:pt idx="168">
                  <c:v>0.53257864713668801</c:v>
                </c:pt>
                <c:pt idx="169">
                  <c:v>0.95411127805709794</c:v>
                </c:pt>
                <c:pt idx="170">
                  <c:v>0.90705251693725497</c:v>
                </c:pt>
                <c:pt idx="171">
                  <c:v>0.91750669479370095</c:v>
                </c:pt>
                <c:pt idx="172">
                  <c:v>0.94240838289260798</c:v>
                </c:pt>
                <c:pt idx="173">
                  <c:v>0.85831958055496205</c:v>
                </c:pt>
                <c:pt idx="174">
                  <c:v>0.95037776231765703</c:v>
                </c:pt>
                <c:pt idx="175">
                  <c:v>0.94169896841049106</c:v>
                </c:pt>
                <c:pt idx="176">
                  <c:v>0.96129941940307595</c:v>
                </c:pt>
                <c:pt idx="177">
                  <c:v>0.96315330266952504</c:v>
                </c:pt>
                <c:pt idx="178">
                  <c:v>0.94140428304672197</c:v>
                </c:pt>
                <c:pt idx="179">
                  <c:v>0.94391471147537198</c:v>
                </c:pt>
                <c:pt idx="180">
                  <c:v>0.827140033245086</c:v>
                </c:pt>
                <c:pt idx="181">
                  <c:v>0.96169185638427701</c:v>
                </c:pt>
                <c:pt idx="182">
                  <c:v>0.91447246074676503</c:v>
                </c:pt>
                <c:pt idx="183">
                  <c:v>0.95328998565673795</c:v>
                </c:pt>
                <c:pt idx="184">
                  <c:v>0.85915845632553101</c:v>
                </c:pt>
                <c:pt idx="185">
                  <c:v>0.189924180507659</c:v>
                </c:pt>
                <c:pt idx="186">
                  <c:v>0.94465065002441395</c:v>
                </c:pt>
                <c:pt idx="187">
                  <c:v>0.93805712461471502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A-448F-9D73-CF2AC9F6F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959664"/>
        <c:axId val="1569960144"/>
      </c:scatterChart>
      <c:valAx>
        <c:axId val="156995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60144"/>
        <c:crosses val="autoZero"/>
        <c:crossBetween val="midCat"/>
      </c:valAx>
      <c:valAx>
        <c:axId val="156996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5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ysClr val="windowText" lastClr="000000"/>
                </a:solidFill>
              </a:rPr>
              <a:t>DSC</a:t>
            </a:r>
            <a:r>
              <a:rPr lang="en-ID" baseline="0">
                <a:solidFill>
                  <a:sysClr val="windowText" lastClr="000000"/>
                </a:solidFill>
              </a:rPr>
              <a:t> </a:t>
            </a:r>
            <a:r>
              <a:rPr lang="en-ID">
                <a:solidFill>
                  <a:sysClr val="windowText" lastClr="000000"/>
                </a:solidFill>
              </a:rPr>
              <a:t>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ET_fold0!$C$1</c:f>
              <c:strCache>
                <c:ptCount val="1"/>
                <c:pt idx="0">
                  <c:v>dsc_ET_t2_t1ce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ET_fold0!$B$2:$B$189</c:f>
              <c:numCache>
                <c:formatCode>General</c:formatCode>
                <c:ptCount val="188"/>
                <c:pt idx="0">
                  <c:v>0.93414753675460804</c:v>
                </c:pt>
                <c:pt idx="1">
                  <c:v>0.94172620773315396</c:v>
                </c:pt>
                <c:pt idx="2">
                  <c:v>0.85047537088394098</c:v>
                </c:pt>
                <c:pt idx="3">
                  <c:v>0.88461875915527299</c:v>
                </c:pt>
                <c:pt idx="4">
                  <c:v>0.75835722684860196</c:v>
                </c:pt>
                <c:pt idx="5" formatCode="0.00E+00">
                  <c:v>1.79533210520332E-9</c:v>
                </c:pt>
                <c:pt idx="6">
                  <c:v>0.89241349697113004</c:v>
                </c:pt>
                <c:pt idx="7">
                  <c:v>0.93072700500488204</c:v>
                </c:pt>
                <c:pt idx="8">
                  <c:v>0.89226162433624201</c:v>
                </c:pt>
                <c:pt idx="9">
                  <c:v>0.85085809230804399</c:v>
                </c:pt>
                <c:pt idx="10">
                  <c:v>0.89639639854431097</c:v>
                </c:pt>
                <c:pt idx="11">
                  <c:v>0.91004347801208496</c:v>
                </c:pt>
                <c:pt idx="12">
                  <c:v>0.84221726655960005</c:v>
                </c:pt>
                <c:pt idx="13">
                  <c:v>0.83333706855773904</c:v>
                </c:pt>
                <c:pt idx="14">
                  <c:v>0.77752667665481501</c:v>
                </c:pt>
                <c:pt idx="15">
                  <c:v>0.939114570617675</c:v>
                </c:pt>
                <c:pt idx="16">
                  <c:v>0.90966361761093095</c:v>
                </c:pt>
                <c:pt idx="17">
                  <c:v>0.92450463771820002</c:v>
                </c:pt>
                <c:pt idx="18">
                  <c:v>0.85388022661209095</c:v>
                </c:pt>
                <c:pt idx="19">
                  <c:v>0.90723627805709794</c:v>
                </c:pt>
                <c:pt idx="20">
                  <c:v>0.64899677038192705</c:v>
                </c:pt>
                <c:pt idx="21">
                  <c:v>0.78225809335708596</c:v>
                </c:pt>
                <c:pt idx="22">
                  <c:v>0.83732956647872903</c:v>
                </c:pt>
                <c:pt idx="23">
                  <c:v>0.85604703426360995</c:v>
                </c:pt>
                <c:pt idx="24">
                  <c:v>0.79050546884536699</c:v>
                </c:pt>
                <c:pt idx="25" formatCode="0.00E+00">
                  <c:v>7.6763644052402201E-11</c:v>
                </c:pt>
                <c:pt idx="26">
                  <c:v>0.74824726581573398</c:v>
                </c:pt>
                <c:pt idx="27">
                  <c:v>0.79616284370422297</c:v>
                </c:pt>
                <c:pt idx="28">
                  <c:v>0.94034492969512895</c:v>
                </c:pt>
                <c:pt idx="29">
                  <c:v>0.86834144592285101</c:v>
                </c:pt>
                <c:pt idx="30">
                  <c:v>0.746357440948486</c:v>
                </c:pt>
                <c:pt idx="31">
                  <c:v>0.89386832714080799</c:v>
                </c:pt>
                <c:pt idx="32">
                  <c:v>0.90875291824340798</c:v>
                </c:pt>
                <c:pt idx="33">
                  <c:v>0.93465775251388505</c:v>
                </c:pt>
                <c:pt idx="34">
                  <c:v>0.855746269226074</c:v>
                </c:pt>
                <c:pt idx="35">
                  <c:v>0.46684351563453602</c:v>
                </c:pt>
                <c:pt idx="36">
                  <c:v>0.53333336114883401</c:v>
                </c:pt>
                <c:pt idx="37">
                  <c:v>0.93853533267974798</c:v>
                </c:pt>
                <c:pt idx="38" formatCode="0.00E+00">
                  <c:v>2.3529411752321002E-9</c:v>
                </c:pt>
                <c:pt idx="39">
                  <c:v>0.800323605537414</c:v>
                </c:pt>
                <c:pt idx="40" formatCode="0.00E+00">
                  <c:v>2.4999994252539102E-7</c:v>
                </c:pt>
                <c:pt idx="41">
                  <c:v>0.80663973093032804</c:v>
                </c:pt>
                <c:pt idx="42">
                  <c:v>0.92781430482864302</c:v>
                </c:pt>
                <c:pt idx="43">
                  <c:v>0.81886613368988004</c:v>
                </c:pt>
                <c:pt idx="44">
                  <c:v>0.93192774057388295</c:v>
                </c:pt>
                <c:pt idx="45">
                  <c:v>0.93191611766815097</c:v>
                </c:pt>
                <c:pt idx="46">
                  <c:v>0.83738267421722401</c:v>
                </c:pt>
                <c:pt idx="47">
                  <c:v>0.85181140899658203</c:v>
                </c:pt>
                <c:pt idx="48">
                  <c:v>0.88675659894943204</c:v>
                </c:pt>
                <c:pt idx="49">
                  <c:v>0.93509924411773604</c:v>
                </c:pt>
                <c:pt idx="50">
                  <c:v>0.93383377790451005</c:v>
                </c:pt>
                <c:pt idx="51">
                  <c:v>0.91360992193222001</c:v>
                </c:pt>
                <c:pt idx="52">
                  <c:v>0.94290614128112704</c:v>
                </c:pt>
                <c:pt idx="53">
                  <c:v>0.70787394046783403</c:v>
                </c:pt>
                <c:pt idx="54">
                  <c:v>0.83972638845443703</c:v>
                </c:pt>
                <c:pt idx="55">
                  <c:v>0.93128693103790205</c:v>
                </c:pt>
                <c:pt idx="56">
                  <c:v>0.76923078298568703</c:v>
                </c:pt>
                <c:pt idx="57">
                  <c:v>0.93486052751541104</c:v>
                </c:pt>
                <c:pt idx="58">
                  <c:v>0.92765450477600098</c:v>
                </c:pt>
                <c:pt idx="59">
                  <c:v>0.87909096479415805</c:v>
                </c:pt>
                <c:pt idx="60">
                  <c:v>0.88805478811264005</c:v>
                </c:pt>
                <c:pt idx="61">
                  <c:v>0.88443380594253496</c:v>
                </c:pt>
                <c:pt idx="62">
                  <c:v>0.87400227785110396</c:v>
                </c:pt>
                <c:pt idx="63">
                  <c:v>0.86089682579040505</c:v>
                </c:pt>
                <c:pt idx="64">
                  <c:v>0.85671472549438399</c:v>
                </c:pt>
                <c:pt idx="65">
                  <c:v>0.87953954935073797</c:v>
                </c:pt>
                <c:pt idx="66">
                  <c:v>0.83889955282211304</c:v>
                </c:pt>
                <c:pt idx="67">
                  <c:v>0.90090090036392201</c:v>
                </c:pt>
                <c:pt idx="68">
                  <c:v>0.85906225442886297</c:v>
                </c:pt>
                <c:pt idx="69">
                  <c:v>0.92668741941452004</c:v>
                </c:pt>
                <c:pt idx="70" formatCode="0.00E+00">
                  <c:v>7.7821010746603695E-10</c:v>
                </c:pt>
                <c:pt idx="71">
                  <c:v>0.51991945505142201</c:v>
                </c:pt>
                <c:pt idx="72">
                  <c:v>0.88196802139282204</c:v>
                </c:pt>
                <c:pt idx="73">
                  <c:v>0.88999325037002497</c:v>
                </c:pt>
                <c:pt idx="74">
                  <c:v>0.89361798763275102</c:v>
                </c:pt>
                <c:pt idx="75">
                  <c:v>0.74694466590881303</c:v>
                </c:pt>
                <c:pt idx="76">
                  <c:v>0.91611778736114502</c:v>
                </c:pt>
                <c:pt idx="77">
                  <c:v>0.86338013410568204</c:v>
                </c:pt>
                <c:pt idx="78">
                  <c:v>0.91160112619400002</c:v>
                </c:pt>
                <c:pt idx="79">
                  <c:v>0.94497549533843905</c:v>
                </c:pt>
                <c:pt idx="80">
                  <c:v>0.91078621149063099</c:v>
                </c:pt>
                <c:pt idx="81">
                  <c:v>0.82331597805023105</c:v>
                </c:pt>
                <c:pt idx="82">
                  <c:v>0.181078150868415</c:v>
                </c:pt>
                <c:pt idx="83">
                  <c:v>0.84328901767730702</c:v>
                </c:pt>
                <c:pt idx="84">
                  <c:v>0.663299679756164</c:v>
                </c:pt>
                <c:pt idx="85">
                  <c:v>0.76559925079345703</c:v>
                </c:pt>
                <c:pt idx="86">
                  <c:v>0.90052229166030795</c:v>
                </c:pt>
                <c:pt idx="87">
                  <c:v>0.86181449890136697</c:v>
                </c:pt>
                <c:pt idx="88">
                  <c:v>0.93881630897521895</c:v>
                </c:pt>
                <c:pt idx="89">
                  <c:v>0.54282695055007901</c:v>
                </c:pt>
                <c:pt idx="90">
                  <c:v>0.81176072359085005</c:v>
                </c:pt>
                <c:pt idx="91">
                  <c:v>0.85898792743682795</c:v>
                </c:pt>
                <c:pt idx="92">
                  <c:v>0.85526829957962003</c:v>
                </c:pt>
                <c:pt idx="93">
                  <c:v>0.91401338577270497</c:v>
                </c:pt>
                <c:pt idx="94">
                  <c:v>0.89974737167358398</c:v>
                </c:pt>
                <c:pt idx="95">
                  <c:v>0.76423037052154497</c:v>
                </c:pt>
                <c:pt idx="96">
                  <c:v>0.86873650550842196</c:v>
                </c:pt>
                <c:pt idx="97">
                  <c:v>0.84473437070846502</c:v>
                </c:pt>
                <c:pt idx="98">
                  <c:v>0.91813921928405695</c:v>
                </c:pt>
                <c:pt idx="99">
                  <c:v>0.92798358201980502</c:v>
                </c:pt>
                <c:pt idx="100">
                  <c:v>0.91975802183151201</c:v>
                </c:pt>
                <c:pt idx="101">
                  <c:v>0.92444157600402799</c:v>
                </c:pt>
                <c:pt idx="102">
                  <c:v>0.90640294551849299</c:v>
                </c:pt>
                <c:pt idx="103">
                  <c:v>0.64604812860488803</c:v>
                </c:pt>
                <c:pt idx="104">
                  <c:v>0.90992259979248002</c:v>
                </c:pt>
                <c:pt idx="105">
                  <c:v>0.84283512830734197</c:v>
                </c:pt>
                <c:pt idx="106">
                  <c:v>0.77932959794998102</c:v>
                </c:pt>
                <c:pt idx="107">
                  <c:v>0.93383437395095803</c:v>
                </c:pt>
                <c:pt idx="108">
                  <c:v>0.89706349372863703</c:v>
                </c:pt>
                <c:pt idx="109">
                  <c:v>0.81423747539520197</c:v>
                </c:pt>
                <c:pt idx="110">
                  <c:v>0.154676258563995</c:v>
                </c:pt>
                <c:pt idx="111">
                  <c:v>0.94897806644439697</c:v>
                </c:pt>
                <c:pt idx="112">
                  <c:v>0.91409653425216597</c:v>
                </c:pt>
                <c:pt idx="113">
                  <c:v>0.90590071678161599</c:v>
                </c:pt>
                <c:pt idx="114">
                  <c:v>0.91627264022827104</c:v>
                </c:pt>
                <c:pt idx="115">
                  <c:v>0.71310126781463601</c:v>
                </c:pt>
                <c:pt idx="116">
                  <c:v>0.90022498369216897</c:v>
                </c:pt>
                <c:pt idx="117">
                  <c:v>0.84712839126586903</c:v>
                </c:pt>
                <c:pt idx="118">
                  <c:v>0.93828415870666504</c:v>
                </c:pt>
                <c:pt idx="119">
                  <c:v>0.87611341476440396</c:v>
                </c:pt>
                <c:pt idx="120">
                  <c:v>0.93109369277954102</c:v>
                </c:pt>
                <c:pt idx="121">
                  <c:v>0.90588003396987904</c:v>
                </c:pt>
                <c:pt idx="122">
                  <c:v>0.856220602989196</c:v>
                </c:pt>
                <c:pt idx="123">
                  <c:v>0.80885952711105302</c:v>
                </c:pt>
                <c:pt idx="124">
                  <c:v>0.63886624574661199</c:v>
                </c:pt>
                <c:pt idx="125">
                  <c:v>0.91795384883880604</c:v>
                </c:pt>
                <c:pt idx="126">
                  <c:v>0.93667364120483398</c:v>
                </c:pt>
                <c:pt idx="127">
                  <c:v>0.92299759387969904</c:v>
                </c:pt>
                <c:pt idx="128">
                  <c:v>0.92052286863327004</c:v>
                </c:pt>
                <c:pt idx="129">
                  <c:v>0.95439881086349398</c:v>
                </c:pt>
                <c:pt idx="130">
                  <c:v>0.85798144340515103</c:v>
                </c:pt>
                <c:pt idx="131">
                  <c:v>0.75822520256042403</c:v>
                </c:pt>
                <c:pt idx="132">
                  <c:v>0.81302523612975997</c:v>
                </c:pt>
                <c:pt idx="133">
                  <c:v>0.9102783203125</c:v>
                </c:pt>
                <c:pt idx="134">
                  <c:v>0.87772363424301103</c:v>
                </c:pt>
                <c:pt idx="135">
                  <c:v>0.89580142498016302</c:v>
                </c:pt>
                <c:pt idx="136">
                  <c:v>0.87762230634689298</c:v>
                </c:pt>
                <c:pt idx="137">
                  <c:v>0.90414100885391202</c:v>
                </c:pt>
                <c:pt idx="138">
                  <c:v>0.94616013765335005</c:v>
                </c:pt>
                <c:pt idx="139">
                  <c:v>0.712835252285003</c:v>
                </c:pt>
                <c:pt idx="140">
                  <c:v>0.91975933313369695</c:v>
                </c:pt>
                <c:pt idx="141">
                  <c:v>0.92270380258560103</c:v>
                </c:pt>
                <c:pt idx="142">
                  <c:v>0.93638634681701605</c:v>
                </c:pt>
                <c:pt idx="143">
                  <c:v>0.84178638458251898</c:v>
                </c:pt>
                <c:pt idx="144">
                  <c:v>0.95708173513412398</c:v>
                </c:pt>
                <c:pt idx="145">
                  <c:v>0.81000441312789895</c:v>
                </c:pt>
                <c:pt idx="146">
                  <c:v>0.87534260749816895</c:v>
                </c:pt>
                <c:pt idx="147">
                  <c:v>0.90813905000686601</c:v>
                </c:pt>
                <c:pt idx="148">
                  <c:v>0.85843372344970703</c:v>
                </c:pt>
                <c:pt idx="149">
                  <c:v>0.91537952423095703</c:v>
                </c:pt>
                <c:pt idx="150">
                  <c:v>0.94297206401824896</c:v>
                </c:pt>
                <c:pt idx="151">
                  <c:v>0.89404261112213101</c:v>
                </c:pt>
                <c:pt idx="152">
                  <c:v>0.92182314395904497</c:v>
                </c:pt>
                <c:pt idx="153">
                  <c:v>0.89855635166168202</c:v>
                </c:pt>
                <c:pt idx="154">
                  <c:v>0.85382497310638406</c:v>
                </c:pt>
                <c:pt idx="155">
                  <c:v>0.86343139410018899</c:v>
                </c:pt>
                <c:pt idx="156" formatCode="0.00E+00">
                  <c:v>2.82485879132821E-9</c:v>
                </c:pt>
                <c:pt idx="157">
                  <c:v>0.91957908868789595</c:v>
                </c:pt>
                <c:pt idx="158">
                  <c:v>2.7032734826207098E-2</c:v>
                </c:pt>
                <c:pt idx="159">
                  <c:v>0.84844422340393</c:v>
                </c:pt>
                <c:pt idx="160">
                  <c:v>0.77591121196746804</c:v>
                </c:pt>
                <c:pt idx="161">
                  <c:v>0.86655360460281305</c:v>
                </c:pt>
                <c:pt idx="162">
                  <c:v>0.85952436923980702</c:v>
                </c:pt>
                <c:pt idx="163">
                  <c:v>0.86024653911590498</c:v>
                </c:pt>
                <c:pt idx="164">
                  <c:v>0.72612041234970004</c:v>
                </c:pt>
                <c:pt idx="165">
                  <c:v>0.774122834205627</c:v>
                </c:pt>
                <c:pt idx="166">
                  <c:v>0.90453255176544101</c:v>
                </c:pt>
                <c:pt idx="167">
                  <c:v>0.78564488887786799</c:v>
                </c:pt>
                <c:pt idx="168">
                  <c:v>0.41522029042243902</c:v>
                </c:pt>
                <c:pt idx="169">
                  <c:v>0.85538196563720703</c:v>
                </c:pt>
                <c:pt idx="170">
                  <c:v>0.88650608062744096</c:v>
                </c:pt>
                <c:pt idx="171">
                  <c:v>0.87007796764373702</c:v>
                </c:pt>
                <c:pt idx="172">
                  <c:v>0.934134840965271</c:v>
                </c:pt>
                <c:pt idx="173">
                  <c:v>0.82196635007858199</c:v>
                </c:pt>
                <c:pt idx="174">
                  <c:v>0.95128703117370605</c:v>
                </c:pt>
                <c:pt idx="175">
                  <c:v>0.87586677074432295</c:v>
                </c:pt>
                <c:pt idx="176">
                  <c:v>0.93488830327987604</c:v>
                </c:pt>
                <c:pt idx="177">
                  <c:v>0.89113974571228005</c:v>
                </c:pt>
                <c:pt idx="178">
                  <c:v>0.92107272148132302</c:v>
                </c:pt>
                <c:pt idx="179">
                  <c:v>0.86744117736816395</c:v>
                </c:pt>
                <c:pt idx="180">
                  <c:v>0.82928705215454102</c:v>
                </c:pt>
                <c:pt idx="181">
                  <c:v>0.94671612977981501</c:v>
                </c:pt>
                <c:pt idx="182">
                  <c:v>0.92506253719329801</c:v>
                </c:pt>
                <c:pt idx="183">
                  <c:v>0.89022445678710904</c:v>
                </c:pt>
                <c:pt idx="184">
                  <c:v>0.807361960411071</c:v>
                </c:pt>
                <c:pt idx="185">
                  <c:v>0.564472496509552</c:v>
                </c:pt>
                <c:pt idx="186">
                  <c:v>0.954897880554199</c:v>
                </c:pt>
                <c:pt idx="187">
                  <c:v>0.90215051174163796</c:v>
                </c:pt>
              </c:numCache>
            </c:numRef>
          </c:xVal>
          <c:yVal>
            <c:numRef>
              <c:f>ET_fold0!$C$2:$C$189</c:f>
              <c:numCache>
                <c:formatCode>General</c:formatCode>
                <c:ptCount val="188"/>
                <c:pt idx="0">
                  <c:v>0.93583691120147705</c:v>
                </c:pt>
                <c:pt idx="1">
                  <c:v>0.94526433944702104</c:v>
                </c:pt>
                <c:pt idx="2">
                  <c:v>0.83352804183959905</c:v>
                </c:pt>
                <c:pt idx="3">
                  <c:v>0.86787986755371005</c:v>
                </c:pt>
                <c:pt idx="4">
                  <c:v>0.76451951265335005</c:v>
                </c:pt>
                <c:pt idx="5" formatCode="0.00E+00">
                  <c:v>3.7037032996067798E-8</c:v>
                </c:pt>
                <c:pt idx="6">
                  <c:v>0.89174681901931696</c:v>
                </c:pt>
                <c:pt idx="7">
                  <c:v>0.93895262479782104</c:v>
                </c:pt>
                <c:pt idx="8">
                  <c:v>0.88942825794219904</c:v>
                </c:pt>
                <c:pt idx="9">
                  <c:v>0.86769372224807695</c:v>
                </c:pt>
                <c:pt idx="10">
                  <c:v>0.88122153282165505</c:v>
                </c:pt>
                <c:pt idx="11">
                  <c:v>0.91361707448959295</c:v>
                </c:pt>
                <c:pt idx="12">
                  <c:v>0.82992577552795399</c:v>
                </c:pt>
                <c:pt idx="13">
                  <c:v>0.86349785327911299</c:v>
                </c:pt>
                <c:pt idx="14">
                  <c:v>0.76130753755569402</c:v>
                </c:pt>
                <c:pt idx="15">
                  <c:v>0.92143833637237504</c:v>
                </c:pt>
                <c:pt idx="16">
                  <c:v>0.90997737646102905</c:v>
                </c:pt>
                <c:pt idx="17">
                  <c:v>0.91877377033233598</c:v>
                </c:pt>
                <c:pt idx="18">
                  <c:v>0.92421489953994695</c:v>
                </c:pt>
                <c:pt idx="19">
                  <c:v>0.89355522394180298</c:v>
                </c:pt>
                <c:pt idx="20">
                  <c:v>0.554948210716247</c:v>
                </c:pt>
                <c:pt idx="21">
                  <c:v>0.78787881135940496</c:v>
                </c:pt>
                <c:pt idx="22">
                  <c:v>0.85402476787567105</c:v>
                </c:pt>
                <c:pt idx="23">
                  <c:v>0.82907766103744496</c:v>
                </c:pt>
                <c:pt idx="24">
                  <c:v>0.78659576177597001</c:v>
                </c:pt>
                <c:pt idx="25" formatCode="0.00E+00">
                  <c:v>1.2045289765616399E-10</c:v>
                </c:pt>
                <c:pt idx="26">
                  <c:v>0.73110723495483398</c:v>
                </c:pt>
                <c:pt idx="27">
                  <c:v>0.79016005992889404</c:v>
                </c:pt>
                <c:pt idx="28">
                  <c:v>0.94148421287536599</c:v>
                </c:pt>
                <c:pt idx="29">
                  <c:v>0.85529077053070002</c:v>
                </c:pt>
                <c:pt idx="30">
                  <c:v>0.71681779623031605</c:v>
                </c:pt>
                <c:pt idx="31">
                  <c:v>0.89903932809829701</c:v>
                </c:pt>
                <c:pt idx="32">
                  <c:v>0.91810435056686401</c:v>
                </c:pt>
                <c:pt idx="33">
                  <c:v>0.93200051784515303</c:v>
                </c:pt>
                <c:pt idx="34">
                  <c:v>0.84833782911300604</c:v>
                </c:pt>
                <c:pt idx="35">
                  <c:v>0.559312343597412</c:v>
                </c:pt>
                <c:pt idx="36">
                  <c:v>0.47729673981666498</c:v>
                </c:pt>
                <c:pt idx="37">
                  <c:v>0.92626327276229803</c:v>
                </c:pt>
                <c:pt idx="38" formatCode="0.00E+00">
                  <c:v>1.1363636254202399E-8</c:v>
                </c:pt>
                <c:pt idx="39">
                  <c:v>0.78161460161209095</c:v>
                </c:pt>
                <c:pt idx="40" formatCode="0.00E+00">
                  <c:v>2.2727272508404798E-8</c:v>
                </c:pt>
                <c:pt idx="41">
                  <c:v>0.74153351783752397</c:v>
                </c:pt>
                <c:pt idx="42">
                  <c:v>0.925268113613128</c:v>
                </c:pt>
                <c:pt idx="43">
                  <c:v>0.82239633798599199</c:v>
                </c:pt>
                <c:pt idx="44">
                  <c:v>0.90469008684158303</c:v>
                </c:pt>
                <c:pt idx="45">
                  <c:v>0.927373766899108</c:v>
                </c:pt>
                <c:pt idx="46">
                  <c:v>0.88472819328308105</c:v>
                </c:pt>
                <c:pt idx="47">
                  <c:v>0.85686200857162398</c:v>
                </c:pt>
                <c:pt idx="48">
                  <c:v>0.86832046508788996</c:v>
                </c:pt>
                <c:pt idx="49">
                  <c:v>0.92495983839035001</c:v>
                </c:pt>
                <c:pt idx="50">
                  <c:v>0.93027174472808805</c:v>
                </c:pt>
                <c:pt idx="51">
                  <c:v>0.90697216987609797</c:v>
                </c:pt>
                <c:pt idx="52">
                  <c:v>0.94507259130477905</c:v>
                </c:pt>
                <c:pt idx="53">
                  <c:v>0.72560578584670998</c:v>
                </c:pt>
                <c:pt idx="54">
                  <c:v>0.83455944061279297</c:v>
                </c:pt>
                <c:pt idx="55">
                  <c:v>0.92822182178497303</c:v>
                </c:pt>
                <c:pt idx="56" formatCode="0.00E+00">
                  <c:v>1.23456791456533E-8</c:v>
                </c:pt>
                <c:pt idx="57">
                  <c:v>0.93051266670226995</c:v>
                </c:pt>
                <c:pt idx="58">
                  <c:v>0.93227505683898904</c:v>
                </c:pt>
                <c:pt idx="59">
                  <c:v>0.85348331928253096</c:v>
                </c:pt>
                <c:pt idx="60">
                  <c:v>0.85052257776260298</c:v>
                </c:pt>
                <c:pt idx="61">
                  <c:v>0.87098336219787598</c:v>
                </c:pt>
                <c:pt idx="62">
                  <c:v>0.88005650043487504</c:v>
                </c:pt>
                <c:pt idx="63">
                  <c:v>0.85317647457122803</c:v>
                </c:pt>
                <c:pt idx="64">
                  <c:v>0.84011512994766202</c:v>
                </c:pt>
                <c:pt idx="65">
                  <c:v>0.87269681692123402</c:v>
                </c:pt>
                <c:pt idx="66">
                  <c:v>0.81624895334243697</c:v>
                </c:pt>
                <c:pt idx="67">
                  <c:v>0.86938565969467096</c:v>
                </c:pt>
                <c:pt idx="68">
                  <c:v>0.85738384723663297</c:v>
                </c:pt>
                <c:pt idx="69">
                  <c:v>0.91557681560516302</c:v>
                </c:pt>
                <c:pt idx="70" formatCode="0.00E+00">
                  <c:v>4.5892611932885002E-10</c:v>
                </c:pt>
                <c:pt idx="71">
                  <c:v>0.45276597142219499</c:v>
                </c:pt>
                <c:pt idx="72">
                  <c:v>0.88401526212692205</c:v>
                </c:pt>
                <c:pt idx="73">
                  <c:v>0.87740379571914595</c:v>
                </c:pt>
                <c:pt idx="74">
                  <c:v>0.89354604482650701</c:v>
                </c:pt>
                <c:pt idx="75">
                  <c:v>0.76584565639495805</c:v>
                </c:pt>
                <c:pt idx="76">
                  <c:v>0.92368406057357699</c:v>
                </c:pt>
                <c:pt idx="77">
                  <c:v>0.82509118318557695</c:v>
                </c:pt>
                <c:pt idx="78">
                  <c:v>0.88867563009261996</c:v>
                </c:pt>
                <c:pt idx="79">
                  <c:v>0.93956428766250599</c:v>
                </c:pt>
                <c:pt idx="80">
                  <c:v>0.90143489837646396</c:v>
                </c:pt>
                <c:pt idx="81">
                  <c:v>0.81954622268676702</c:v>
                </c:pt>
                <c:pt idx="82">
                  <c:v>0.13374283909797599</c:v>
                </c:pt>
                <c:pt idx="83">
                  <c:v>0.84611892700195301</c:v>
                </c:pt>
                <c:pt idx="84">
                  <c:v>0.77833670377731301</c:v>
                </c:pt>
                <c:pt idx="85">
                  <c:v>0.71667307615280096</c:v>
                </c:pt>
                <c:pt idx="86">
                  <c:v>0.90765261650085405</c:v>
                </c:pt>
                <c:pt idx="87">
                  <c:v>0.88353437185287398</c:v>
                </c:pt>
                <c:pt idx="88">
                  <c:v>0.93106168508529596</c:v>
                </c:pt>
                <c:pt idx="89">
                  <c:v>0.60833579301834095</c:v>
                </c:pt>
                <c:pt idx="90">
                  <c:v>0.79847264289855902</c:v>
                </c:pt>
                <c:pt idx="91">
                  <c:v>0.85257387161254805</c:v>
                </c:pt>
                <c:pt idx="92">
                  <c:v>0.87317919731140103</c:v>
                </c:pt>
                <c:pt idx="93">
                  <c:v>0.90492308139801003</c:v>
                </c:pt>
                <c:pt idx="94">
                  <c:v>0.85029119253158503</c:v>
                </c:pt>
                <c:pt idx="95">
                  <c:v>0.75323104858398404</c:v>
                </c:pt>
                <c:pt idx="96">
                  <c:v>0.86471211910247803</c:v>
                </c:pt>
                <c:pt idx="97">
                  <c:v>0.83040052652358998</c:v>
                </c:pt>
                <c:pt idx="98">
                  <c:v>0.91901534795761097</c:v>
                </c:pt>
                <c:pt idx="99">
                  <c:v>0.91764789819717396</c:v>
                </c:pt>
                <c:pt idx="100">
                  <c:v>0.92065662145614602</c:v>
                </c:pt>
                <c:pt idx="101">
                  <c:v>0.90236681699752797</c:v>
                </c:pt>
                <c:pt idx="102">
                  <c:v>0.90746134519577004</c:v>
                </c:pt>
                <c:pt idx="103" formatCode="0.00E+00">
                  <c:v>9.1743119767784199E-9</c:v>
                </c:pt>
                <c:pt idx="104">
                  <c:v>0.90058320760726895</c:v>
                </c:pt>
                <c:pt idx="105" formatCode="0.00E+00">
                  <c:v>1.6666666935449801E-9</c:v>
                </c:pt>
                <c:pt idx="106">
                  <c:v>0.76731300354003895</c:v>
                </c:pt>
                <c:pt idx="107">
                  <c:v>0.91342699527740401</c:v>
                </c:pt>
                <c:pt idx="108">
                  <c:v>0.85338103771209695</c:v>
                </c:pt>
                <c:pt idx="109">
                  <c:v>0.81111085414886397</c:v>
                </c:pt>
                <c:pt idx="110">
                  <c:v>0.10940919071435901</c:v>
                </c:pt>
                <c:pt idx="111">
                  <c:v>0.949754178524017</c:v>
                </c:pt>
                <c:pt idx="112">
                  <c:v>0.91668117046356201</c:v>
                </c:pt>
                <c:pt idx="113">
                  <c:v>0.87590599060058505</c:v>
                </c:pt>
                <c:pt idx="114">
                  <c:v>0.91136324405670099</c:v>
                </c:pt>
                <c:pt idx="115">
                  <c:v>0.71757894754409701</c:v>
                </c:pt>
                <c:pt idx="116">
                  <c:v>0.88722211122512795</c:v>
                </c:pt>
                <c:pt idx="117">
                  <c:v>0.86040383577346802</c:v>
                </c:pt>
                <c:pt idx="118">
                  <c:v>0.93104046583175604</c:v>
                </c:pt>
                <c:pt idx="119">
                  <c:v>0.86798870563507002</c:v>
                </c:pt>
                <c:pt idx="120">
                  <c:v>0.91111111640930098</c:v>
                </c:pt>
                <c:pt idx="121">
                  <c:v>0.91443634033203103</c:v>
                </c:pt>
                <c:pt idx="122">
                  <c:v>0.85234659910202004</c:v>
                </c:pt>
                <c:pt idx="123">
                  <c:v>0.83157509565353305</c:v>
                </c:pt>
                <c:pt idx="124">
                  <c:v>0.62448269128799405</c:v>
                </c:pt>
                <c:pt idx="125">
                  <c:v>0.90463888645172097</c:v>
                </c:pt>
                <c:pt idx="126">
                  <c:v>0.92766541242599398</c:v>
                </c:pt>
                <c:pt idx="127">
                  <c:v>0.91628015041351296</c:v>
                </c:pt>
                <c:pt idx="128">
                  <c:v>0.90268838405609098</c:v>
                </c:pt>
                <c:pt idx="129">
                  <c:v>0.95625525712966897</c:v>
                </c:pt>
                <c:pt idx="130">
                  <c:v>0.852453112602233</c:v>
                </c:pt>
                <c:pt idx="131">
                  <c:v>0.75430560111999501</c:v>
                </c:pt>
                <c:pt idx="132">
                  <c:v>0.83335644006729104</c:v>
                </c:pt>
                <c:pt idx="133">
                  <c:v>0.89900553226470903</c:v>
                </c:pt>
                <c:pt idx="134">
                  <c:v>0.88271731138229304</c:v>
                </c:pt>
                <c:pt idx="135">
                  <c:v>0.87124335765838601</c:v>
                </c:pt>
                <c:pt idx="136">
                  <c:v>0.86618727445602395</c:v>
                </c:pt>
                <c:pt idx="137">
                  <c:v>0.90191388130187899</c:v>
                </c:pt>
                <c:pt idx="138">
                  <c:v>0.92401349544525102</c:v>
                </c:pt>
                <c:pt idx="139">
                  <c:v>0.68767011165618896</c:v>
                </c:pt>
                <c:pt idx="140">
                  <c:v>0.92544192075729304</c:v>
                </c:pt>
                <c:pt idx="141">
                  <c:v>0.91746264696121205</c:v>
                </c:pt>
                <c:pt idx="142">
                  <c:v>0.95035886764526301</c:v>
                </c:pt>
                <c:pt idx="143">
                  <c:v>0.83262640237808205</c:v>
                </c:pt>
                <c:pt idx="144">
                  <c:v>0.94879758358001698</c:v>
                </c:pt>
                <c:pt idx="145">
                  <c:v>0.79794692993163996</c:v>
                </c:pt>
                <c:pt idx="146">
                  <c:v>0.86083239316940297</c:v>
                </c:pt>
                <c:pt idx="147">
                  <c:v>0.90105801820755005</c:v>
                </c:pt>
                <c:pt idx="148">
                  <c:v>0.83187562227249101</c:v>
                </c:pt>
                <c:pt idx="149">
                  <c:v>0.90030038356780995</c:v>
                </c:pt>
                <c:pt idx="150">
                  <c:v>0.913130283355712</c:v>
                </c:pt>
                <c:pt idx="151">
                  <c:v>0.8962984085083</c:v>
                </c:pt>
                <c:pt idx="152">
                  <c:v>0.91539525985717696</c:v>
                </c:pt>
                <c:pt idx="153">
                  <c:v>0.88081598281860296</c:v>
                </c:pt>
                <c:pt idx="154">
                  <c:v>0.84834903478622403</c:v>
                </c:pt>
                <c:pt idx="155">
                  <c:v>0.83026635646820002</c:v>
                </c:pt>
                <c:pt idx="156" formatCode="0.00E+00">
                  <c:v>2.8571427890256002E-8</c:v>
                </c:pt>
                <c:pt idx="157">
                  <c:v>0.89952945709228505</c:v>
                </c:pt>
                <c:pt idx="158">
                  <c:v>3.57362926006317E-2</c:v>
                </c:pt>
                <c:pt idx="159">
                  <c:v>0.886860191822052</c:v>
                </c:pt>
                <c:pt idx="160">
                  <c:v>0.79351896047592096</c:v>
                </c:pt>
                <c:pt idx="161">
                  <c:v>0.85189616680145197</c:v>
                </c:pt>
                <c:pt idx="162">
                  <c:v>0.83892446756362904</c:v>
                </c:pt>
                <c:pt idx="163">
                  <c:v>0.84143316745758001</c:v>
                </c:pt>
                <c:pt idx="164">
                  <c:v>0.77490955591201705</c:v>
                </c:pt>
                <c:pt idx="165">
                  <c:v>0.77075314521789495</c:v>
                </c:pt>
                <c:pt idx="166">
                  <c:v>0.90462046861648504</c:v>
                </c:pt>
                <c:pt idx="167">
                  <c:v>0.79729646444320601</c:v>
                </c:pt>
                <c:pt idx="168">
                  <c:v>0.44290122389793302</c:v>
                </c:pt>
                <c:pt idx="169">
                  <c:v>0.84023541212081898</c:v>
                </c:pt>
                <c:pt idx="170">
                  <c:v>0.86582362651824896</c:v>
                </c:pt>
                <c:pt idx="171">
                  <c:v>0.85982960462570102</c:v>
                </c:pt>
                <c:pt idx="172">
                  <c:v>0.92997509241104104</c:v>
                </c:pt>
                <c:pt idx="173">
                  <c:v>0.79658120870590199</c:v>
                </c:pt>
                <c:pt idx="174">
                  <c:v>0.93962657451629605</c:v>
                </c:pt>
                <c:pt idx="175">
                  <c:v>0.83108639717101995</c:v>
                </c:pt>
                <c:pt idx="176">
                  <c:v>0.92134320735931396</c:v>
                </c:pt>
                <c:pt idx="177">
                  <c:v>0.88454920053482</c:v>
                </c:pt>
                <c:pt idx="178">
                  <c:v>0.91662234067916804</c:v>
                </c:pt>
                <c:pt idx="179">
                  <c:v>0.85948187112808205</c:v>
                </c:pt>
                <c:pt idx="180">
                  <c:v>0.82176297903060902</c:v>
                </c:pt>
                <c:pt idx="181">
                  <c:v>0.95679652690887396</c:v>
                </c:pt>
                <c:pt idx="182">
                  <c:v>0.91459923982620195</c:v>
                </c:pt>
                <c:pt idx="183">
                  <c:v>0.871607065200805</c:v>
                </c:pt>
                <c:pt idx="184">
                  <c:v>0.79433959722518899</c:v>
                </c:pt>
                <c:pt idx="185">
                  <c:v>0.71529495716094904</c:v>
                </c:pt>
                <c:pt idx="186">
                  <c:v>0.93301826715469305</c:v>
                </c:pt>
                <c:pt idx="187">
                  <c:v>0.90431416034698398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4-4F20-9AEF-4AB8B1DFB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169408"/>
        <c:axId val="1571157408"/>
      </c:scatterChart>
      <c:valAx>
        <c:axId val="157116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157408"/>
        <c:crosses val="autoZero"/>
        <c:crossBetween val="midCat"/>
      </c:valAx>
      <c:valAx>
        <c:axId val="1571157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16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459581</xdr:colOff>
      <xdr:row>13</xdr:row>
      <xdr:rowOff>47626</xdr:rowOff>
    </xdr:from>
    <xdr:to>
      <xdr:col>16</xdr:col>
      <xdr:colOff>497681</xdr:colOff>
      <xdr:row>28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7FBDE-317D-CE55-2144-BADF00016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135730</xdr:colOff>
      <xdr:row>7</xdr:row>
      <xdr:rowOff>52388</xdr:rowOff>
    </xdr:from>
    <xdr:to>
      <xdr:col>17</xdr:col>
      <xdr:colOff>173830</xdr:colOff>
      <xdr:row>22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2CF15-2006-8EDB-AC3A-F7E9AA9D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478630</xdr:colOff>
      <xdr:row>6</xdr:row>
      <xdr:rowOff>157162</xdr:rowOff>
    </xdr:from>
    <xdr:to>
      <xdr:col>16</xdr:col>
      <xdr:colOff>516730</xdr:colOff>
      <xdr:row>22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591C2-F438-10DB-1DAF-4FF708677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"/>
  <sheetViews>
    <sheetView workbookViewId="0">
      <selection activeCell="D1" activeCellId="1" sqref="B1:B1048576 D1:D1048576"/>
    </sheetView>
  </sheetViews>
  <sheetFormatPr defaultRowHeight="14.25" x14ac:dyDescent="0.45"/>
  <cols>
    <col min="1" max="1" width="17.59765625" bestFit="1" customWidth="1"/>
    <col min="2" max="2" width="15.33203125" bestFit="1" customWidth="1"/>
    <col min="3" max="3" width="13.1328125" bestFit="1" customWidth="1"/>
    <col min="5" max="7" width="9.6640625" bestFit="1" customWidth="1"/>
  </cols>
  <sheetData>
    <row r="1" spans="1:14" x14ac:dyDescent="0.45">
      <c r="A1" t="s">
        <v>0</v>
      </c>
      <c r="B1" t="s">
        <v>189</v>
      </c>
      <c r="C1" t="s">
        <v>203</v>
      </c>
      <c r="D1" t="s">
        <v>204</v>
      </c>
    </row>
    <row r="2" spans="1:14" x14ac:dyDescent="0.45">
      <c r="A2" t="s">
        <v>1</v>
      </c>
      <c r="B2">
        <v>0.97097903490066495</v>
      </c>
      <c r="C2">
        <v>0.95742142200469904</v>
      </c>
      <c r="D2">
        <v>0.97576415500000002</v>
      </c>
      <c r="E2" t="str">
        <f t="shared" ref="E2:E33" si="0">IF(B2&gt;C2,"T1ce+FLAIR","T2+T1ce")</f>
        <v>T1ce+FLAIR</v>
      </c>
    </row>
    <row r="3" spans="1:14" x14ac:dyDescent="0.45">
      <c r="A3" t="s">
        <v>2</v>
      </c>
      <c r="B3">
        <v>0.94787305593490601</v>
      </c>
      <c r="C3">
        <v>0.91532599925994795</v>
      </c>
      <c r="D3">
        <v>0.95331496000000004</v>
      </c>
      <c r="E3" t="str">
        <f t="shared" si="0"/>
        <v>T1ce+FLAIR</v>
      </c>
      <c r="K3" s="3" t="s">
        <v>194</v>
      </c>
      <c r="L3" s="3"/>
      <c r="N3">
        <f>PEARSON(B2:B189,C2:C189)</f>
        <v>0.60208955770692674</v>
      </c>
    </row>
    <row r="4" spans="1:14" x14ac:dyDescent="0.45">
      <c r="A4" t="s">
        <v>3</v>
      </c>
      <c r="B4">
        <v>0.62625020742416304</v>
      </c>
      <c r="C4">
        <v>0.656876921653747</v>
      </c>
      <c r="D4">
        <v>0.62661737200000001</v>
      </c>
      <c r="E4" t="str">
        <f t="shared" si="0"/>
        <v>T2+T1ce</v>
      </c>
      <c r="K4" s="2" t="s">
        <v>195</v>
      </c>
      <c r="L4" s="2">
        <f>CORREL(B2:B189,C2:C189)</f>
        <v>0.60208955770692674</v>
      </c>
    </row>
    <row r="5" spans="1:14" x14ac:dyDescent="0.45">
      <c r="A5" t="s">
        <v>4</v>
      </c>
      <c r="B5">
        <v>0.96400487422943104</v>
      </c>
      <c r="C5">
        <v>0.92033493518829301</v>
      </c>
      <c r="D5">
        <v>0.96631503100000005</v>
      </c>
      <c r="E5" t="str">
        <f t="shared" si="0"/>
        <v>T1ce+FLAIR</v>
      </c>
      <c r="K5" s="2" t="s">
        <v>196</v>
      </c>
      <c r="L5" s="2">
        <v>0.83218923599945005</v>
      </c>
    </row>
    <row r="6" spans="1:14" x14ac:dyDescent="0.45">
      <c r="A6" t="s">
        <v>5</v>
      </c>
      <c r="B6">
        <v>0.85372304916381803</v>
      </c>
      <c r="C6">
        <v>0.77834510803222601</v>
      </c>
      <c r="D6">
        <v>0.87995463600000001</v>
      </c>
      <c r="E6" t="str">
        <f t="shared" si="0"/>
        <v>T1ce+FLAIR</v>
      </c>
      <c r="K6" s="2" t="s">
        <v>197</v>
      </c>
      <c r="L6" s="2">
        <v>0.89709873503653403</v>
      </c>
    </row>
    <row r="7" spans="1:14" x14ac:dyDescent="0.45">
      <c r="A7" t="s">
        <v>6</v>
      </c>
      <c r="B7">
        <v>0.94115960597991899</v>
      </c>
      <c r="C7">
        <v>0.91887021064758301</v>
      </c>
      <c r="D7">
        <v>0.94345289499999996</v>
      </c>
      <c r="E7" t="str">
        <f t="shared" si="0"/>
        <v>T1ce+FLAIR</v>
      </c>
    </row>
    <row r="8" spans="1:14" x14ac:dyDescent="0.45">
      <c r="A8" t="s">
        <v>7</v>
      </c>
      <c r="B8">
        <v>0.962785184383392</v>
      </c>
      <c r="C8">
        <v>0.94410860538482599</v>
      </c>
      <c r="D8">
        <v>0.96379393300000005</v>
      </c>
      <c r="E8" t="str">
        <f t="shared" si="0"/>
        <v>T1ce+FLAIR</v>
      </c>
      <c r="K8" s="3" t="s">
        <v>200</v>
      </c>
      <c r="L8" s="3"/>
    </row>
    <row r="9" spans="1:14" x14ac:dyDescent="0.45">
      <c r="A9" t="s">
        <v>8</v>
      </c>
      <c r="B9">
        <v>0.89544183015823298</v>
      </c>
      <c r="C9">
        <v>0.89248645305633501</v>
      </c>
      <c r="D9">
        <v>0.91799765799999999</v>
      </c>
      <c r="E9" t="str">
        <f t="shared" si="0"/>
        <v>T1ce+FLAIR</v>
      </c>
      <c r="K9" s="2" t="s">
        <v>198</v>
      </c>
      <c r="L9" s="2">
        <f>COUNTIF(E2:E189, "T1ce+FLAIR")</f>
        <v>172</v>
      </c>
    </row>
    <row r="10" spans="1:14" x14ac:dyDescent="0.45">
      <c r="A10" t="s">
        <v>9</v>
      </c>
      <c r="B10">
        <v>0.96558809280395497</v>
      </c>
      <c r="C10">
        <v>0.94371205568313599</v>
      </c>
      <c r="D10">
        <v>0.96509641400000001</v>
      </c>
      <c r="E10" t="str">
        <f t="shared" si="0"/>
        <v>T1ce+FLAIR</v>
      </c>
      <c r="K10" s="2" t="s">
        <v>199</v>
      </c>
      <c r="L10" s="2">
        <f>COUNTIF(E2:E189, "T2+T1ce")</f>
        <v>16</v>
      </c>
    </row>
    <row r="11" spans="1:14" x14ac:dyDescent="0.45">
      <c r="A11" t="s">
        <v>10</v>
      </c>
      <c r="B11">
        <v>0.96286058425903298</v>
      </c>
      <c r="C11">
        <v>0.94015538692474299</v>
      </c>
      <c r="D11">
        <v>0.96115231499999998</v>
      </c>
      <c r="E11" t="str">
        <f t="shared" si="0"/>
        <v>T1ce+FLAIR</v>
      </c>
    </row>
    <row r="12" spans="1:14" x14ac:dyDescent="0.45">
      <c r="A12" t="s">
        <v>11</v>
      </c>
      <c r="B12">
        <v>0.89310169219970703</v>
      </c>
      <c r="C12">
        <v>0.87491875886917103</v>
      </c>
      <c r="D12">
        <v>0.903194249</v>
      </c>
      <c r="E12" t="str">
        <f t="shared" si="0"/>
        <v>T1ce+FLAIR</v>
      </c>
    </row>
    <row r="13" spans="1:14" x14ac:dyDescent="0.45">
      <c r="A13" t="s">
        <v>12</v>
      </c>
      <c r="B13">
        <v>0.96003156900405795</v>
      </c>
      <c r="C13">
        <v>0.93936246633529596</v>
      </c>
      <c r="D13">
        <v>0.96396696599999998</v>
      </c>
      <c r="E13" t="str">
        <f t="shared" si="0"/>
        <v>T1ce+FLAIR</v>
      </c>
    </row>
    <row r="14" spans="1:14" x14ac:dyDescent="0.45">
      <c r="A14" t="s">
        <v>13</v>
      </c>
      <c r="B14">
        <v>0.91938120126724199</v>
      </c>
      <c r="C14">
        <v>0.88356894254684404</v>
      </c>
      <c r="D14">
        <v>0.92967843999999999</v>
      </c>
      <c r="E14" t="str">
        <f t="shared" si="0"/>
        <v>T1ce+FLAIR</v>
      </c>
    </row>
    <row r="15" spans="1:14" x14ac:dyDescent="0.45">
      <c r="A15" t="s">
        <v>14</v>
      </c>
      <c r="B15">
        <v>0.95920652151107699</v>
      </c>
      <c r="C15">
        <v>0.90753012895584095</v>
      </c>
      <c r="D15">
        <v>0.96342665000000005</v>
      </c>
      <c r="E15" t="str">
        <f t="shared" si="0"/>
        <v>T1ce+FLAIR</v>
      </c>
    </row>
    <row r="16" spans="1:14" x14ac:dyDescent="0.45">
      <c r="A16" t="s">
        <v>15</v>
      </c>
      <c r="B16">
        <v>0.89057260751724199</v>
      </c>
      <c r="C16">
        <v>0.90841454267501798</v>
      </c>
      <c r="D16">
        <v>0.90345483999999998</v>
      </c>
      <c r="E16" t="str">
        <f t="shared" si="0"/>
        <v>T2+T1ce</v>
      </c>
    </row>
    <row r="17" spans="1:5" x14ac:dyDescent="0.45">
      <c r="A17" t="s">
        <v>16</v>
      </c>
      <c r="B17">
        <v>0.95480793714523304</v>
      </c>
      <c r="C17">
        <v>0.93410104513168302</v>
      </c>
      <c r="D17">
        <v>0.95665407199999997</v>
      </c>
      <c r="E17" t="str">
        <f t="shared" si="0"/>
        <v>T1ce+FLAIR</v>
      </c>
    </row>
    <row r="18" spans="1:5" x14ac:dyDescent="0.45">
      <c r="A18" t="s">
        <v>17</v>
      </c>
      <c r="B18">
        <v>0.94946372509002597</v>
      </c>
      <c r="C18">
        <v>0.91360098123550404</v>
      </c>
      <c r="D18">
        <v>0.94664984900000004</v>
      </c>
      <c r="E18" t="str">
        <f t="shared" si="0"/>
        <v>T1ce+FLAIR</v>
      </c>
    </row>
    <row r="19" spans="1:5" x14ac:dyDescent="0.45">
      <c r="A19" t="s">
        <v>18</v>
      </c>
      <c r="B19">
        <v>0.91074329614639205</v>
      </c>
      <c r="C19">
        <v>0.89167457818984897</v>
      </c>
      <c r="D19">
        <v>0.92341119100000002</v>
      </c>
      <c r="E19" t="str">
        <f t="shared" si="0"/>
        <v>T1ce+FLAIR</v>
      </c>
    </row>
    <row r="20" spans="1:5" x14ac:dyDescent="0.45">
      <c r="A20" t="s">
        <v>19</v>
      </c>
      <c r="B20">
        <v>0.93016219139099099</v>
      </c>
      <c r="C20">
        <v>0.90416711568832397</v>
      </c>
      <c r="D20">
        <v>0.92924106100000003</v>
      </c>
      <c r="E20" t="str">
        <f t="shared" si="0"/>
        <v>T1ce+FLAIR</v>
      </c>
    </row>
    <row r="21" spans="1:5" x14ac:dyDescent="0.45">
      <c r="A21" t="s">
        <v>20</v>
      </c>
      <c r="B21">
        <v>0.95331168174743597</v>
      </c>
      <c r="C21">
        <v>0.92216885089874201</v>
      </c>
      <c r="D21">
        <v>0.95869964399999996</v>
      </c>
      <c r="E21" t="str">
        <f t="shared" si="0"/>
        <v>T1ce+FLAIR</v>
      </c>
    </row>
    <row r="22" spans="1:5" x14ac:dyDescent="0.45">
      <c r="A22" t="s">
        <v>21</v>
      </c>
      <c r="B22">
        <v>0.74475020170211703</v>
      </c>
      <c r="C22">
        <v>0.62066143751144398</v>
      </c>
      <c r="D22">
        <v>0.82167553900000001</v>
      </c>
      <c r="E22" t="str">
        <f t="shared" si="0"/>
        <v>T1ce+FLAIR</v>
      </c>
    </row>
    <row r="23" spans="1:5" x14ac:dyDescent="0.45">
      <c r="A23" t="s">
        <v>22</v>
      </c>
      <c r="B23">
        <v>0.905858874320983</v>
      </c>
      <c r="C23">
        <v>0.87333333492278997</v>
      </c>
      <c r="D23">
        <v>0.89742213500000001</v>
      </c>
      <c r="E23" t="str">
        <f t="shared" si="0"/>
        <v>T1ce+FLAIR</v>
      </c>
    </row>
    <row r="24" spans="1:5" x14ac:dyDescent="0.45">
      <c r="A24" t="s">
        <v>23</v>
      </c>
      <c r="B24">
        <v>0.78762036561965898</v>
      </c>
      <c r="C24">
        <v>0.848433136940002</v>
      </c>
      <c r="D24">
        <v>0.79573613399999998</v>
      </c>
      <c r="E24" t="str">
        <f t="shared" si="0"/>
        <v>T2+T1ce</v>
      </c>
    </row>
    <row r="25" spans="1:5" x14ac:dyDescent="0.45">
      <c r="A25" t="s">
        <v>24</v>
      </c>
      <c r="B25">
        <v>0.93588602542877197</v>
      </c>
      <c r="C25">
        <v>0.93571579456329301</v>
      </c>
      <c r="D25">
        <v>0.93718838699999996</v>
      </c>
      <c r="E25" t="str">
        <f t="shared" si="0"/>
        <v>T1ce+FLAIR</v>
      </c>
    </row>
    <row r="26" spans="1:5" x14ac:dyDescent="0.45">
      <c r="A26" t="s">
        <v>25</v>
      </c>
      <c r="B26">
        <v>0.92822474241256703</v>
      </c>
      <c r="C26">
        <v>0.90363359451293901</v>
      </c>
      <c r="D26">
        <v>0.92695885899999997</v>
      </c>
      <c r="E26" t="str">
        <f t="shared" si="0"/>
        <v>T1ce+FLAIR</v>
      </c>
    </row>
    <row r="27" spans="1:5" x14ac:dyDescent="0.45">
      <c r="A27" t="s">
        <v>26</v>
      </c>
      <c r="B27">
        <v>0.94853055477142301</v>
      </c>
      <c r="C27">
        <v>0.95192492008209195</v>
      </c>
      <c r="D27">
        <v>0.95540207600000004</v>
      </c>
      <c r="E27" t="str">
        <f t="shared" si="0"/>
        <v>T2+T1ce</v>
      </c>
    </row>
    <row r="28" spans="1:5" x14ac:dyDescent="0.45">
      <c r="A28" t="s">
        <v>27</v>
      </c>
      <c r="B28">
        <v>0.91547650098800604</v>
      </c>
      <c r="C28">
        <v>0.87088662385940496</v>
      </c>
      <c r="D28">
        <v>0.91523599600000005</v>
      </c>
      <c r="E28" t="str">
        <f t="shared" si="0"/>
        <v>T1ce+FLAIR</v>
      </c>
    </row>
    <row r="29" spans="1:5" x14ac:dyDescent="0.45">
      <c r="A29" t="s">
        <v>28</v>
      </c>
      <c r="B29">
        <v>0.88141036033630304</v>
      </c>
      <c r="C29">
        <v>0.852167189121246</v>
      </c>
      <c r="D29">
        <v>0.88192355600000005</v>
      </c>
      <c r="E29" t="str">
        <f t="shared" si="0"/>
        <v>T1ce+FLAIR</v>
      </c>
    </row>
    <row r="30" spans="1:5" x14ac:dyDescent="0.45">
      <c r="A30" t="s">
        <v>29</v>
      </c>
      <c r="B30">
        <v>0.95872968435287398</v>
      </c>
      <c r="C30">
        <v>0.93863874673843295</v>
      </c>
      <c r="D30">
        <v>0.96112543299999997</v>
      </c>
      <c r="E30" t="str">
        <f t="shared" si="0"/>
        <v>T1ce+FLAIR</v>
      </c>
    </row>
    <row r="31" spans="1:5" x14ac:dyDescent="0.45">
      <c r="A31" t="s">
        <v>30</v>
      </c>
      <c r="B31">
        <v>0.92565310001373202</v>
      </c>
      <c r="C31">
        <v>0.89679288864135698</v>
      </c>
      <c r="D31">
        <v>0.92156601000000005</v>
      </c>
      <c r="E31" t="str">
        <f t="shared" si="0"/>
        <v>T1ce+FLAIR</v>
      </c>
    </row>
    <row r="32" spans="1:5" x14ac:dyDescent="0.45">
      <c r="A32" t="s">
        <v>31</v>
      </c>
      <c r="B32">
        <v>0.88670629262924106</v>
      </c>
      <c r="C32">
        <v>0.82259202003479004</v>
      </c>
      <c r="D32">
        <v>0.87883156500000004</v>
      </c>
      <c r="E32" t="str">
        <f t="shared" si="0"/>
        <v>T1ce+FLAIR</v>
      </c>
    </row>
    <row r="33" spans="1:5" x14ac:dyDescent="0.45">
      <c r="A33" t="s">
        <v>32</v>
      </c>
      <c r="B33">
        <v>0.93689602613449097</v>
      </c>
      <c r="C33">
        <v>0.90177965164184504</v>
      </c>
      <c r="D33">
        <v>0.93454468300000004</v>
      </c>
      <c r="E33" t="str">
        <f t="shared" si="0"/>
        <v>T1ce+FLAIR</v>
      </c>
    </row>
    <row r="34" spans="1:5" x14ac:dyDescent="0.45">
      <c r="A34" t="s">
        <v>33</v>
      </c>
      <c r="B34">
        <v>0.92566299438476496</v>
      </c>
      <c r="C34">
        <v>0.89741587638854903</v>
      </c>
      <c r="D34">
        <v>0.92581891999999999</v>
      </c>
      <c r="E34" t="str">
        <f t="shared" ref="E34:E65" si="1">IF(B34&gt;C34,"T1ce+FLAIR","T2+T1ce")</f>
        <v>T1ce+FLAIR</v>
      </c>
    </row>
    <row r="35" spans="1:5" x14ac:dyDescent="0.45">
      <c r="A35" t="s">
        <v>34</v>
      </c>
      <c r="B35">
        <v>0.96471738815307595</v>
      </c>
      <c r="C35">
        <v>0.94390052556991499</v>
      </c>
      <c r="D35">
        <v>0.96774834399999998</v>
      </c>
      <c r="E35" t="str">
        <f t="shared" si="1"/>
        <v>T1ce+FLAIR</v>
      </c>
    </row>
    <row r="36" spans="1:5" x14ac:dyDescent="0.45">
      <c r="A36" t="s">
        <v>35</v>
      </c>
      <c r="B36">
        <v>0.89518862962722701</v>
      </c>
      <c r="C36">
        <v>0.85849893093109098</v>
      </c>
      <c r="D36">
        <v>0.896513581</v>
      </c>
      <c r="E36" t="str">
        <f t="shared" si="1"/>
        <v>T1ce+FLAIR</v>
      </c>
    </row>
    <row r="37" spans="1:5" x14ac:dyDescent="0.45">
      <c r="A37" t="s">
        <v>36</v>
      </c>
      <c r="B37">
        <v>0.73222869634628296</v>
      </c>
      <c r="C37">
        <v>0.57756030559539795</v>
      </c>
      <c r="D37">
        <v>0.73773592700000001</v>
      </c>
      <c r="E37" t="str">
        <f t="shared" si="1"/>
        <v>T1ce+FLAIR</v>
      </c>
    </row>
    <row r="38" spans="1:5" x14ac:dyDescent="0.45">
      <c r="A38" t="s">
        <v>37</v>
      </c>
      <c r="B38">
        <v>0.85589379072189298</v>
      </c>
      <c r="C38">
        <v>0.78820163011550903</v>
      </c>
      <c r="D38">
        <v>0.85482418500000001</v>
      </c>
      <c r="E38" t="str">
        <f t="shared" si="1"/>
        <v>T1ce+FLAIR</v>
      </c>
    </row>
    <row r="39" spans="1:5" x14ac:dyDescent="0.45">
      <c r="A39" t="s">
        <v>38</v>
      </c>
      <c r="B39">
        <v>0.96626847982406605</v>
      </c>
      <c r="C39">
        <v>0.94301778078079201</v>
      </c>
      <c r="D39">
        <v>0.96768605699999999</v>
      </c>
      <c r="E39" t="str">
        <f t="shared" si="1"/>
        <v>T1ce+FLAIR</v>
      </c>
    </row>
    <row r="40" spans="1:5" x14ac:dyDescent="0.45">
      <c r="A40" t="s">
        <v>39</v>
      </c>
      <c r="B40">
        <v>0.87501239776611295</v>
      </c>
      <c r="C40">
        <v>0.82175970077514604</v>
      </c>
      <c r="D40">
        <v>0.87345176899999999</v>
      </c>
      <c r="E40" t="str">
        <f t="shared" si="1"/>
        <v>T1ce+FLAIR</v>
      </c>
    </row>
    <row r="41" spans="1:5" x14ac:dyDescent="0.45">
      <c r="A41" t="s">
        <v>40</v>
      </c>
      <c r="B41">
        <v>0.90712338685989302</v>
      </c>
      <c r="C41">
        <v>0.87264239788055398</v>
      </c>
      <c r="D41">
        <v>0.91417604699999999</v>
      </c>
      <c r="E41" t="str">
        <f t="shared" si="1"/>
        <v>T1ce+FLAIR</v>
      </c>
    </row>
    <row r="42" spans="1:5" x14ac:dyDescent="0.45">
      <c r="A42" t="s">
        <v>41</v>
      </c>
      <c r="B42">
        <v>0.88541114330291704</v>
      </c>
      <c r="C42">
        <v>0.84000390768051103</v>
      </c>
      <c r="D42">
        <v>0.89879351900000004</v>
      </c>
      <c r="E42" t="str">
        <f t="shared" si="1"/>
        <v>T1ce+FLAIR</v>
      </c>
    </row>
    <row r="43" spans="1:5" x14ac:dyDescent="0.45">
      <c r="A43" t="s">
        <v>42</v>
      </c>
      <c r="B43">
        <v>0.92213225364685003</v>
      </c>
      <c r="C43">
        <v>0.88895368576049805</v>
      </c>
      <c r="D43">
        <v>0.930745304</v>
      </c>
      <c r="E43" t="str">
        <f t="shared" si="1"/>
        <v>T1ce+FLAIR</v>
      </c>
    </row>
    <row r="44" spans="1:5" x14ac:dyDescent="0.45">
      <c r="A44" t="s">
        <v>43</v>
      </c>
      <c r="B44">
        <v>0.79219442605972201</v>
      </c>
      <c r="C44">
        <v>0.66704511642455999</v>
      </c>
      <c r="D44">
        <v>0.75993007400000001</v>
      </c>
      <c r="E44" t="str">
        <f t="shared" si="1"/>
        <v>T1ce+FLAIR</v>
      </c>
    </row>
    <row r="45" spans="1:5" x14ac:dyDescent="0.45">
      <c r="A45" t="s">
        <v>44</v>
      </c>
      <c r="B45">
        <v>0.77655231952667203</v>
      </c>
      <c r="C45">
        <v>0.850905001163482</v>
      </c>
      <c r="D45">
        <v>0.813748896</v>
      </c>
      <c r="E45" t="str">
        <f t="shared" si="1"/>
        <v>T2+T1ce</v>
      </c>
    </row>
    <row r="46" spans="1:5" x14ac:dyDescent="0.45">
      <c r="A46" t="s">
        <v>45</v>
      </c>
      <c r="B46">
        <v>0.967776119709014</v>
      </c>
      <c r="C46">
        <v>0.943817138671875</v>
      </c>
      <c r="D46">
        <v>0.97136277000000004</v>
      </c>
      <c r="E46" t="str">
        <f t="shared" si="1"/>
        <v>T1ce+FLAIR</v>
      </c>
    </row>
    <row r="47" spans="1:5" x14ac:dyDescent="0.45">
      <c r="A47" t="s">
        <v>46</v>
      </c>
      <c r="B47">
        <v>0.93869972229003895</v>
      </c>
      <c r="C47">
        <v>0.92747855186462402</v>
      </c>
      <c r="D47">
        <v>0.938052475</v>
      </c>
      <c r="E47" t="str">
        <f t="shared" si="1"/>
        <v>T1ce+FLAIR</v>
      </c>
    </row>
    <row r="48" spans="1:5" x14ac:dyDescent="0.45">
      <c r="A48" t="s">
        <v>47</v>
      </c>
      <c r="B48">
        <v>0.75448030233383101</v>
      </c>
      <c r="C48">
        <v>0.82805621623992898</v>
      </c>
      <c r="D48">
        <v>0.79950505500000002</v>
      </c>
      <c r="E48" t="str">
        <f t="shared" si="1"/>
        <v>T2+T1ce</v>
      </c>
    </row>
    <row r="49" spans="1:5" x14ac:dyDescent="0.45">
      <c r="A49" t="s">
        <v>48</v>
      </c>
      <c r="B49">
        <v>0.88544338941574097</v>
      </c>
      <c r="C49">
        <v>0.87911194562911898</v>
      </c>
      <c r="D49">
        <v>0.89506369799999996</v>
      </c>
      <c r="E49" t="str">
        <f t="shared" si="1"/>
        <v>T1ce+FLAIR</v>
      </c>
    </row>
    <row r="50" spans="1:5" x14ac:dyDescent="0.45">
      <c r="A50" t="s">
        <v>49</v>
      </c>
      <c r="B50">
        <v>0.964361071586608</v>
      </c>
      <c r="C50">
        <v>0.93695551156997603</v>
      </c>
      <c r="D50">
        <v>0.96306407500000002</v>
      </c>
      <c r="E50" t="str">
        <f t="shared" si="1"/>
        <v>T1ce+FLAIR</v>
      </c>
    </row>
    <row r="51" spans="1:5" x14ac:dyDescent="0.45">
      <c r="A51" t="s">
        <v>50</v>
      </c>
      <c r="B51">
        <v>0.95490223169326705</v>
      </c>
      <c r="C51">
        <v>0.92996424436569203</v>
      </c>
      <c r="D51">
        <v>0.95543223600000005</v>
      </c>
      <c r="E51" t="str">
        <f t="shared" si="1"/>
        <v>T1ce+FLAIR</v>
      </c>
    </row>
    <row r="52" spans="1:5" x14ac:dyDescent="0.45">
      <c r="A52" t="s">
        <v>51</v>
      </c>
      <c r="B52">
        <v>0.88904267549514704</v>
      </c>
      <c r="C52">
        <v>0.90342944860458296</v>
      </c>
      <c r="D52">
        <v>0.90633451899999995</v>
      </c>
      <c r="E52" t="str">
        <f t="shared" si="1"/>
        <v>T2+T1ce</v>
      </c>
    </row>
    <row r="53" spans="1:5" x14ac:dyDescent="0.45">
      <c r="A53" t="s">
        <v>52</v>
      </c>
      <c r="B53">
        <v>0.92850118875503496</v>
      </c>
      <c r="C53">
        <v>0.90346652269363403</v>
      </c>
      <c r="D53">
        <v>0.93966042999999999</v>
      </c>
      <c r="E53" t="str">
        <f t="shared" si="1"/>
        <v>T1ce+FLAIR</v>
      </c>
    </row>
    <row r="54" spans="1:5" x14ac:dyDescent="0.45">
      <c r="A54" t="s">
        <v>53</v>
      </c>
      <c r="B54">
        <v>0.93397021293640103</v>
      </c>
      <c r="C54">
        <v>0.91142165660858099</v>
      </c>
      <c r="D54">
        <v>0.94564980300000001</v>
      </c>
      <c r="E54" t="str">
        <f t="shared" si="1"/>
        <v>T1ce+FLAIR</v>
      </c>
    </row>
    <row r="55" spans="1:5" x14ac:dyDescent="0.45">
      <c r="A55" t="s">
        <v>54</v>
      </c>
      <c r="B55">
        <v>0.94040900468826205</v>
      </c>
      <c r="C55">
        <v>0.93342560529708796</v>
      </c>
      <c r="D55">
        <v>0.94210922699999999</v>
      </c>
      <c r="E55" t="str">
        <f t="shared" si="1"/>
        <v>T1ce+FLAIR</v>
      </c>
    </row>
    <row r="56" spans="1:5" x14ac:dyDescent="0.45">
      <c r="A56" t="s">
        <v>55</v>
      </c>
      <c r="B56">
        <v>0.91077041625976496</v>
      </c>
      <c r="C56">
        <v>0.89149916172027499</v>
      </c>
      <c r="D56">
        <v>0.90948170399999995</v>
      </c>
      <c r="E56" t="str">
        <f t="shared" si="1"/>
        <v>T1ce+FLAIR</v>
      </c>
    </row>
    <row r="57" spans="1:5" x14ac:dyDescent="0.45">
      <c r="A57" t="s">
        <v>56</v>
      </c>
      <c r="B57">
        <v>0.96943360567092896</v>
      </c>
      <c r="C57">
        <v>0.95032197237014704</v>
      </c>
      <c r="D57">
        <v>0.96898138499999997</v>
      </c>
      <c r="E57" t="str">
        <f t="shared" si="1"/>
        <v>T1ce+FLAIR</v>
      </c>
    </row>
    <row r="58" spans="1:5" x14ac:dyDescent="0.45">
      <c r="A58" t="s">
        <v>57</v>
      </c>
      <c r="B58">
        <v>0.87537676095962502</v>
      </c>
      <c r="C58">
        <v>1.8455693498253802E-2</v>
      </c>
      <c r="D58">
        <v>0.81257575800000004</v>
      </c>
      <c r="E58" t="str">
        <f t="shared" si="1"/>
        <v>T1ce+FLAIR</v>
      </c>
    </row>
    <row r="59" spans="1:5" x14ac:dyDescent="0.45">
      <c r="A59" t="s">
        <v>58</v>
      </c>
      <c r="B59">
        <v>0.93251377344131403</v>
      </c>
      <c r="C59">
        <v>0.86449253559112504</v>
      </c>
      <c r="D59">
        <v>0.92991024300000003</v>
      </c>
      <c r="E59" t="str">
        <f t="shared" si="1"/>
        <v>T1ce+FLAIR</v>
      </c>
    </row>
    <row r="60" spans="1:5" x14ac:dyDescent="0.45">
      <c r="A60" t="s">
        <v>59</v>
      </c>
      <c r="B60">
        <v>0.953746378421783</v>
      </c>
      <c r="C60">
        <v>0.93099558353423995</v>
      </c>
      <c r="D60">
        <v>0.95461994400000005</v>
      </c>
      <c r="E60" t="str">
        <f t="shared" si="1"/>
        <v>T1ce+FLAIR</v>
      </c>
    </row>
    <row r="61" spans="1:5" x14ac:dyDescent="0.45">
      <c r="A61" t="s">
        <v>60</v>
      </c>
      <c r="B61">
        <v>0.95565330982208196</v>
      </c>
      <c r="C61">
        <v>0.94919997453689497</v>
      </c>
      <c r="D61">
        <v>0.95825249000000001</v>
      </c>
      <c r="E61" t="str">
        <f t="shared" si="1"/>
        <v>T1ce+FLAIR</v>
      </c>
    </row>
    <row r="62" spans="1:5" x14ac:dyDescent="0.45">
      <c r="A62" t="s">
        <v>61</v>
      </c>
      <c r="B62">
        <v>0.96021598577499301</v>
      </c>
      <c r="C62">
        <v>0.94028627872466997</v>
      </c>
      <c r="D62">
        <v>0.96482098100000002</v>
      </c>
      <c r="E62" t="str">
        <f t="shared" si="1"/>
        <v>T1ce+FLAIR</v>
      </c>
    </row>
    <row r="63" spans="1:5" x14ac:dyDescent="0.45">
      <c r="A63" t="s">
        <v>62</v>
      </c>
      <c r="B63">
        <v>0.93052303791046098</v>
      </c>
      <c r="C63">
        <v>0.90153014659881503</v>
      </c>
      <c r="D63">
        <v>0.93344253300000002</v>
      </c>
      <c r="E63" t="str">
        <f t="shared" si="1"/>
        <v>T1ce+FLAIR</v>
      </c>
    </row>
    <row r="64" spans="1:5" x14ac:dyDescent="0.45">
      <c r="A64" t="s">
        <v>63</v>
      </c>
      <c r="B64">
        <v>0.94970095157623202</v>
      </c>
      <c r="C64">
        <v>0.91999739408492998</v>
      </c>
      <c r="D64">
        <v>0.94902169700000005</v>
      </c>
      <c r="E64" t="str">
        <f t="shared" si="1"/>
        <v>T1ce+FLAIR</v>
      </c>
    </row>
    <row r="65" spans="1:5" x14ac:dyDescent="0.45">
      <c r="A65" t="s">
        <v>64</v>
      </c>
      <c r="B65">
        <v>0.926535904407501</v>
      </c>
      <c r="C65">
        <v>0.878462255001068</v>
      </c>
      <c r="D65">
        <v>0.92877221099999996</v>
      </c>
      <c r="E65" t="str">
        <f t="shared" si="1"/>
        <v>T1ce+FLAIR</v>
      </c>
    </row>
    <row r="66" spans="1:5" x14ac:dyDescent="0.45">
      <c r="A66" t="s">
        <v>65</v>
      </c>
      <c r="B66">
        <v>0.94533878564834595</v>
      </c>
      <c r="C66">
        <v>0.93912893533706598</v>
      </c>
      <c r="D66">
        <v>0.948372781</v>
      </c>
      <c r="E66" t="str">
        <f t="shared" ref="E66:E97" si="2">IF(B66&gt;C66,"T1ce+FLAIR","T2+T1ce")</f>
        <v>T1ce+FLAIR</v>
      </c>
    </row>
    <row r="67" spans="1:5" x14ac:dyDescent="0.45">
      <c r="A67" t="s">
        <v>66</v>
      </c>
      <c r="B67">
        <v>0.93940776586532504</v>
      </c>
      <c r="C67">
        <v>0.75545281171798695</v>
      </c>
      <c r="D67">
        <v>0.93812537200000001</v>
      </c>
      <c r="E67" t="str">
        <f t="shared" si="2"/>
        <v>T1ce+FLAIR</v>
      </c>
    </row>
    <row r="68" spans="1:5" x14ac:dyDescent="0.45">
      <c r="A68" t="s">
        <v>67</v>
      </c>
      <c r="B68">
        <v>0.82223099470138505</v>
      </c>
      <c r="C68">
        <v>0.76439684629440297</v>
      </c>
      <c r="D68">
        <v>0.80870288599999995</v>
      </c>
      <c r="E68" t="str">
        <f t="shared" si="2"/>
        <v>T1ce+FLAIR</v>
      </c>
    </row>
    <row r="69" spans="1:5" x14ac:dyDescent="0.45">
      <c r="A69" t="s">
        <v>68</v>
      </c>
      <c r="B69">
        <v>0.49228841066360401</v>
      </c>
      <c r="C69">
        <v>0.62513661384582497</v>
      </c>
      <c r="D69">
        <v>0.52975308899999995</v>
      </c>
      <c r="E69" t="str">
        <f t="shared" si="2"/>
        <v>T2+T1ce</v>
      </c>
    </row>
    <row r="70" spans="1:5" x14ac:dyDescent="0.45">
      <c r="A70" t="s">
        <v>69</v>
      </c>
      <c r="B70">
        <v>0.94456750154495195</v>
      </c>
      <c r="C70">
        <v>0.93364119529724099</v>
      </c>
      <c r="D70">
        <v>0.94935482699999996</v>
      </c>
      <c r="E70" t="str">
        <f t="shared" si="2"/>
        <v>T1ce+FLAIR</v>
      </c>
    </row>
    <row r="71" spans="1:5" x14ac:dyDescent="0.45">
      <c r="A71" t="s">
        <v>70</v>
      </c>
      <c r="B71">
        <v>0.95872020721435502</v>
      </c>
      <c r="C71">
        <v>0.92519134283065796</v>
      </c>
      <c r="D71">
        <v>0.96235006999999995</v>
      </c>
      <c r="E71" t="str">
        <f t="shared" si="2"/>
        <v>T1ce+FLAIR</v>
      </c>
    </row>
    <row r="72" spans="1:5" x14ac:dyDescent="0.45">
      <c r="A72" t="s">
        <v>71</v>
      </c>
      <c r="B72">
        <v>0.94799447059631303</v>
      </c>
      <c r="C72">
        <v>0.94167977571487405</v>
      </c>
      <c r="D72">
        <v>0.94979947799999997</v>
      </c>
      <c r="E72" t="str">
        <f t="shared" si="2"/>
        <v>T1ce+FLAIR</v>
      </c>
    </row>
    <row r="73" spans="1:5" x14ac:dyDescent="0.45">
      <c r="A73" t="s">
        <v>72</v>
      </c>
      <c r="B73">
        <v>0.81932514905929499</v>
      </c>
      <c r="C73">
        <v>0.83892303705215399</v>
      </c>
      <c r="D73">
        <v>0.82529664000000003</v>
      </c>
      <c r="E73" t="str">
        <f t="shared" si="2"/>
        <v>T2+T1ce</v>
      </c>
    </row>
    <row r="74" spans="1:5" x14ac:dyDescent="0.45">
      <c r="A74" t="s">
        <v>73</v>
      </c>
      <c r="B74">
        <v>0.94347470998764005</v>
      </c>
      <c r="C74">
        <v>0.93756419420242298</v>
      </c>
      <c r="D74">
        <v>0.94953751600000003</v>
      </c>
      <c r="E74" t="str">
        <f t="shared" si="2"/>
        <v>T1ce+FLAIR</v>
      </c>
    </row>
    <row r="75" spans="1:5" x14ac:dyDescent="0.45">
      <c r="A75" t="s">
        <v>74</v>
      </c>
      <c r="B75">
        <v>0.94157981872558505</v>
      </c>
      <c r="C75">
        <v>0.93465602397918701</v>
      </c>
      <c r="D75">
        <v>0.940033436</v>
      </c>
      <c r="E75" t="str">
        <f t="shared" si="2"/>
        <v>T1ce+FLAIR</v>
      </c>
    </row>
    <row r="76" spans="1:5" x14ac:dyDescent="0.45">
      <c r="A76" t="s">
        <v>75</v>
      </c>
      <c r="B76">
        <v>0.95609247684478704</v>
      </c>
      <c r="C76">
        <v>0.87594634294509799</v>
      </c>
      <c r="D76">
        <v>0.95636379699999996</v>
      </c>
      <c r="E76" t="str">
        <f t="shared" si="2"/>
        <v>T1ce+FLAIR</v>
      </c>
    </row>
    <row r="77" spans="1:5" x14ac:dyDescent="0.45">
      <c r="A77" t="s">
        <v>76</v>
      </c>
      <c r="B77">
        <v>0.90302836894989003</v>
      </c>
      <c r="C77">
        <v>0.80772852897643999</v>
      </c>
      <c r="D77">
        <v>0.89657318600000002</v>
      </c>
      <c r="E77" t="str">
        <f t="shared" si="2"/>
        <v>T1ce+FLAIR</v>
      </c>
    </row>
    <row r="78" spans="1:5" x14ac:dyDescent="0.45">
      <c r="A78" t="s">
        <v>77</v>
      </c>
      <c r="B78">
        <v>0.923314929008483</v>
      </c>
      <c r="C78">
        <v>0.880587518215179</v>
      </c>
      <c r="D78">
        <v>0.92761915900000003</v>
      </c>
      <c r="E78" t="str">
        <f t="shared" si="2"/>
        <v>T1ce+FLAIR</v>
      </c>
    </row>
    <row r="79" spans="1:5" x14ac:dyDescent="0.45">
      <c r="A79" t="s">
        <v>78</v>
      </c>
      <c r="B79">
        <v>0.94414430856704701</v>
      </c>
      <c r="C79">
        <v>0.90856057405471802</v>
      </c>
      <c r="D79">
        <v>0.94815200600000005</v>
      </c>
      <c r="E79" t="str">
        <f t="shared" si="2"/>
        <v>T1ce+FLAIR</v>
      </c>
    </row>
    <row r="80" spans="1:5" x14ac:dyDescent="0.45">
      <c r="A80" t="s">
        <v>79</v>
      </c>
      <c r="B80">
        <v>0.959894359111785</v>
      </c>
      <c r="C80">
        <v>0.94046080112457198</v>
      </c>
      <c r="D80">
        <v>0.96024376199999995</v>
      </c>
      <c r="E80" t="str">
        <f t="shared" si="2"/>
        <v>T1ce+FLAIR</v>
      </c>
    </row>
    <row r="81" spans="1:5" x14ac:dyDescent="0.45">
      <c r="A81" t="s">
        <v>80</v>
      </c>
      <c r="B81">
        <v>0.96337836980819702</v>
      </c>
      <c r="C81">
        <v>0.93541568517684903</v>
      </c>
      <c r="D81">
        <v>0.96437156199999996</v>
      </c>
      <c r="E81" t="str">
        <f t="shared" si="2"/>
        <v>T1ce+FLAIR</v>
      </c>
    </row>
    <row r="82" spans="1:5" x14ac:dyDescent="0.45">
      <c r="A82" t="s">
        <v>81</v>
      </c>
      <c r="B82">
        <v>0.945925593376159</v>
      </c>
      <c r="C82">
        <v>0.91569870710372903</v>
      </c>
      <c r="D82">
        <v>0.94812792499999998</v>
      </c>
      <c r="E82" t="str">
        <f t="shared" si="2"/>
        <v>T1ce+FLAIR</v>
      </c>
    </row>
    <row r="83" spans="1:5" x14ac:dyDescent="0.45">
      <c r="A83" t="s">
        <v>82</v>
      </c>
      <c r="B83">
        <v>0.92802655696868896</v>
      </c>
      <c r="C83">
        <v>0.91226089000701904</v>
      </c>
      <c r="D83">
        <v>0.92752140800000005</v>
      </c>
      <c r="E83" t="str">
        <f t="shared" si="2"/>
        <v>T1ce+FLAIR</v>
      </c>
    </row>
    <row r="84" spans="1:5" x14ac:dyDescent="0.45">
      <c r="A84" t="s">
        <v>83</v>
      </c>
      <c r="B84">
        <v>0.91106033325195301</v>
      </c>
      <c r="C84">
        <v>0.85079902410507202</v>
      </c>
      <c r="D84">
        <v>0.90851914899999997</v>
      </c>
      <c r="E84" t="str">
        <f t="shared" si="2"/>
        <v>T1ce+FLAIR</v>
      </c>
    </row>
    <row r="85" spans="1:5" x14ac:dyDescent="0.45">
      <c r="A85" t="s">
        <v>84</v>
      </c>
      <c r="B85">
        <v>0.87501299381256104</v>
      </c>
      <c r="C85">
        <v>0.84733855724334695</v>
      </c>
      <c r="D85">
        <v>0.87626296299999995</v>
      </c>
      <c r="E85" t="str">
        <f t="shared" si="2"/>
        <v>T1ce+FLAIR</v>
      </c>
    </row>
    <row r="86" spans="1:5" x14ac:dyDescent="0.45">
      <c r="A86" t="s">
        <v>85</v>
      </c>
      <c r="B86">
        <v>0.827498018741607</v>
      </c>
      <c r="C86">
        <v>0.73704886436462402</v>
      </c>
      <c r="D86">
        <v>0.81299447999999996</v>
      </c>
      <c r="E86" t="str">
        <f t="shared" si="2"/>
        <v>T1ce+FLAIR</v>
      </c>
    </row>
    <row r="87" spans="1:5" x14ac:dyDescent="0.45">
      <c r="A87" t="s">
        <v>86</v>
      </c>
      <c r="B87">
        <v>0.93705761432647705</v>
      </c>
      <c r="C87">
        <v>0.92741793394088701</v>
      </c>
      <c r="D87">
        <v>0.93624949499999999</v>
      </c>
      <c r="E87" t="str">
        <f t="shared" si="2"/>
        <v>T1ce+FLAIR</v>
      </c>
    </row>
    <row r="88" spans="1:5" x14ac:dyDescent="0.45">
      <c r="A88" t="s">
        <v>87</v>
      </c>
      <c r="B88">
        <v>0.95095336437225297</v>
      </c>
      <c r="C88">
        <v>0.92840218544006303</v>
      </c>
      <c r="D88">
        <v>0.96175283199999995</v>
      </c>
      <c r="E88" t="str">
        <f t="shared" si="2"/>
        <v>T1ce+FLAIR</v>
      </c>
    </row>
    <row r="89" spans="1:5" x14ac:dyDescent="0.45">
      <c r="A89" t="s">
        <v>88</v>
      </c>
      <c r="B89">
        <v>0.901059210300445</v>
      </c>
      <c r="C89">
        <v>0.82189780473709095</v>
      </c>
      <c r="D89">
        <v>0.89589786500000002</v>
      </c>
      <c r="E89" t="str">
        <f t="shared" si="2"/>
        <v>T1ce+FLAIR</v>
      </c>
    </row>
    <row r="90" spans="1:5" x14ac:dyDescent="0.45">
      <c r="A90" t="s">
        <v>89</v>
      </c>
      <c r="B90">
        <v>0.97272449731826705</v>
      </c>
      <c r="C90">
        <v>0.96211707592010498</v>
      </c>
      <c r="D90">
        <v>0.97387588000000003</v>
      </c>
      <c r="E90" t="str">
        <f t="shared" si="2"/>
        <v>T1ce+FLAIR</v>
      </c>
    </row>
    <row r="91" spans="1:5" x14ac:dyDescent="0.45">
      <c r="A91" t="s">
        <v>90</v>
      </c>
      <c r="B91">
        <v>0.92180627584457397</v>
      </c>
      <c r="C91">
        <v>0.950053930282592</v>
      </c>
      <c r="D91">
        <v>0.93876457199999996</v>
      </c>
      <c r="E91" t="str">
        <f t="shared" si="2"/>
        <v>T2+T1ce</v>
      </c>
    </row>
    <row r="92" spans="1:5" x14ac:dyDescent="0.45">
      <c r="A92" t="s">
        <v>91</v>
      </c>
      <c r="B92">
        <v>0.91823309659957797</v>
      </c>
      <c r="C92">
        <v>0.89978706836700395</v>
      </c>
      <c r="D92">
        <v>0.92786514799999997</v>
      </c>
      <c r="E92" t="str">
        <f t="shared" si="2"/>
        <v>T1ce+FLAIR</v>
      </c>
    </row>
    <row r="93" spans="1:5" x14ac:dyDescent="0.45">
      <c r="A93" t="s">
        <v>92</v>
      </c>
      <c r="B93">
        <v>0.95988976955413796</v>
      </c>
      <c r="C93">
        <v>0.95303148031234697</v>
      </c>
      <c r="D93">
        <v>0.96537429100000005</v>
      </c>
      <c r="E93" t="str">
        <f t="shared" si="2"/>
        <v>T1ce+FLAIR</v>
      </c>
    </row>
    <row r="94" spans="1:5" x14ac:dyDescent="0.45">
      <c r="A94" t="s">
        <v>93</v>
      </c>
      <c r="B94">
        <v>0.95871007442474299</v>
      </c>
      <c r="C94">
        <v>0.89392578601837103</v>
      </c>
      <c r="D94">
        <v>0.95796448000000001</v>
      </c>
      <c r="E94" t="str">
        <f t="shared" si="2"/>
        <v>T1ce+FLAIR</v>
      </c>
    </row>
    <row r="95" spans="1:5" x14ac:dyDescent="0.45">
      <c r="A95" t="s">
        <v>94</v>
      </c>
      <c r="B95">
        <v>0.94181567430496205</v>
      </c>
      <c r="C95">
        <v>0.89725255966186501</v>
      </c>
      <c r="D95">
        <v>0.93077921900000005</v>
      </c>
      <c r="E95" t="str">
        <f t="shared" si="2"/>
        <v>T1ce+FLAIR</v>
      </c>
    </row>
    <row r="96" spans="1:5" x14ac:dyDescent="0.45">
      <c r="A96" t="s">
        <v>95</v>
      </c>
      <c r="B96">
        <v>0.90629911422729403</v>
      </c>
      <c r="C96">
        <v>0.84025502204894997</v>
      </c>
      <c r="D96">
        <v>0.92125862800000002</v>
      </c>
      <c r="E96" t="str">
        <f t="shared" si="2"/>
        <v>T1ce+FLAIR</v>
      </c>
    </row>
    <row r="97" spans="1:5" x14ac:dyDescent="0.45">
      <c r="A97" t="s">
        <v>96</v>
      </c>
      <c r="B97">
        <v>0.91774433851241999</v>
      </c>
      <c r="C97">
        <v>0.88866746425628595</v>
      </c>
      <c r="D97">
        <v>0.91560411500000005</v>
      </c>
      <c r="E97" t="str">
        <f t="shared" si="2"/>
        <v>T1ce+FLAIR</v>
      </c>
    </row>
    <row r="98" spans="1:5" x14ac:dyDescent="0.45">
      <c r="A98" t="s">
        <v>97</v>
      </c>
      <c r="B98">
        <v>0.70512962341308505</v>
      </c>
      <c r="C98">
        <v>0.71311360597610396</v>
      </c>
      <c r="D98">
        <v>0.74009382700000004</v>
      </c>
      <c r="E98" t="str">
        <f t="shared" ref="E98:E129" si="3">IF(B98&gt;C98,"T1ce+FLAIR","T2+T1ce")</f>
        <v>T2+T1ce</v>
      </c>
    </row>
    <row r="99" spans="1:5" x14ac:dyDescent="0.45">
      <c r="A99" t="s">
        <v>98</v>
      </c>
      <c r="B99">
        <v>0.86308801174163796</v>
      </c>
      <c r="C99">
        <v>0.77541047334670998</v>
      </c>
      <c r="D99">
        <v>0.83967029999999998</v>
      </c>
      <c r="E99" t="str">
        <f t="shared" si="3"/>
        <v>T1ce+FLAIR</v>
      </c>
    </row>
    <row r="100" spans="1:5" x14ac:dyDescent="0.45">
      <c r="A100" t="s">
        <v>99</v>
      </c>
      <c r="B100">
        <v>0.95356696844100897</v>
      </c>
      <c r="C100">
        <v>0.92087888717651301</v>
      </c>
      <c r="D100">
        <v>0.95844745600000003</v>
      </c>
      <c r="E100" t="str">
        <f t="shared" si="3"/>
        <v>T1ce+FLAIR</v>
      </c>
    </row>
    <row r="101" spans="1:5" x14ac:dyDescent="0.45">
      <c r="A101" t="s">
        <v>100</v>
      </c>
      <c r="B101">
        <v>0.95122718811035101</v>
      </c>
      <c r="C101">
        <v>0.92856216430663996</v>
      </c>
      <c r="D101">
        <v>0.95202750000000003</v>
      </c>
      <c r="E101" t="str">
        <f t="shared" si="3"/>
        <v>T1ce+FLAIR</v>
      </c>
    </row>
    <row r="102" spans="1:5" x14ac:dyDescent="0.45">
      <c r="A102" t="s">
        <v>101</v>
      </c>
      <c r="B102">
        <v>0.95035421848297097</v>
      </c>
      <c r="C102">
        <v>0.93287378549575795</v>
      </c>
      <c r="D102">
        <v>0.95216625899999996</v>
      </c>
      <c r="E102" t="str">
        <f t="shared" si="3"/>
        <v>T1ce+FLAIR</v>
      </c>
    </row>
    <row r="103" spans="1:5" x14ac:dyDescent="0.45">
      <c r="A103" t="s">
        <v>102</v>
      </c>
      <c r="B103">
        <v>0.92074286937713601</v>
      </c>
      <c r="C103">
        <v>0.91446805000305098</v>
      </c>
      <c r="D103">
        <v>0.923716545</v>
      </c>
      <c r="E103" t="str">
        <f t="shared" si="3"/>
        <v>T1ce+FLAIR</v>
      </c>
    </row>
    <row r="104" spans="1:5" x14ac:dyDescent="0.45">
      <c r="A104" t="s">
        <v>103</v>
      </c>
      <c r="B104">
        <v>0.95055466890335005</v>
      </c>
      <c r="C104">
        <v>0.937402844429016</v>
      </c>
      <c r="D104">
        <v>0.95863902599999995</v>
      </c>
      <c r="E104" t="str">
        <f t="shared" si="3"/>
        <v>T1ce+FLAIR</v>
      </c>
    </row>
    <row r="105" spans="1:5" x14ac:dyDescent="0.45">
      <c r="A105" t="s">
        <v>104</v>
      </c>
      <c r="B105">
        <v>0.89490991830825795</v>
      </c>
      <c r="C105" s="1">
        <v>2.9895366737697698E-10</v>
      </c>
      <c r="D105">
        <v>0.83050847100000003</v>
      </c>
      <c r="E105" t="str">
        <f t="shared" si="3"/>
        <v>T1ce+FLAIR</v>
      </c>
    </row>
    <row r="106" spans="1:5" x14ac:dyDescent="0.45">
      <c r="A106" t="s">
        <v>105</v>
      </c>
      <c r="B106">
        <v>0.96898764371871904</v>
      </c>
      <c r="C106">
        <v>0.95122134685516302</v>
      </c>
      <c r="D106">
        <v>0.97149145599999998</v>
      </c>
      <c r="E106" t="str">
        <f t="shared" si="3"/>
        <v>T1ce+FLAIR</v>
      </c>
    </row>
    <row r="107" spans="1:5" x14ac:dyDescent="0.45">
      <c r="A107" t="s">
        <v>106</v>
      </c>
      <c r="B107">
        <v>0.80207395553588801</v>
      </c>
      <c r="C107" s="1">
        <v>3.8284839187774299E-10</v>
      </c>
      <c r="D107">
        <v>0.69478410499999999</v>
      </c>
      <c r="E107" t="str">
        <f t="shared" si="3"/>
        <v>T1ce+FLAIR</v>
      </c>
    </row>
    <row r="108" spans="1:5" x14ac:dyDescent="0.45">
      <c r="A108" t="s">
        <v>107</v>
      </c>
      <c r="B108">
        <v>0.82724404335021895</v>
      </c>
      <c r="C108">
        <v>0.80525571107864302</v>
      </c>
      <c r="D108">
        <v>0.827130437</v>
      </c>
      <c r="E108" t="str">
        <f t="shared" si="3"/>
        <v>T1ce+FLAIR</v>
      </c>
    </row>
    <row r="109" spans="1:5" x14ac:dyDescent="0.45">
      <c r="A109" t="s">
        <v>108</v>
      </c>
      <c r="B109">
        <v>0.96692901849746704</v>
      </c>
      <c r="C109">
        <v>0.95695066452026301</v>
      </c>
      <c r="D109">
        <v>0.97038477700000003</v>
      </c>
      <c r="E109" t="str">
        <f t="shared" si="3"/>
        <v>T1ce+FLAIR</v>
      </c>
    </row>
    <row r="110" spans="1:5" x14ac:dyDescent="0.45">
      <c r="A110" t="s">
        <v>109</v>
      </c>
      <c r="B110">
        <v>0.92766523361205999</v>
      </c>
      <c r="C110">
        <v>0.87134510278701705</v>
      </c>
      <c r="D110">
        <v>0.92219203699999996</v>
      </c>
      <c r="E110" t="str">
        <f t="shared" si="3"/>
        <v>T1ce+FLAIR</v>
      </c>
    </row>
    <row r="111" spans="1:5" x14ac:dyDescent="0.45">
      <c r="A111" t="s">
        <v>110</v>
      </c>
      <c r="B111">
        <v>0.88571262359619096</v>
      </c>
      <c r="C111">
        <v>0.84849750995635898</v>
      </c>
      <c r="D111">
        <v>0.89142787499999998</v>
      </c>
      <c r="E111" t="str">
        <f t="shared" si="3"/>
        <v>T1ce+FLAIR</v>
      </c>
    </row>
    <row r="112" spans="1:5" x14ac:dyDescent="0.45">
      <c r="A112" t="s">
        <v>111</v>
      </c>
      <c r="B112">
        <v>0.88685834407806396</v>
      </c>
      <c r="C112">
        <v>0.86255234479904097</v>
      </c>
      <c r="D112">
        <v>0.89193606400000003</v>
      </c>
      <c r="E112" t="str">
        <f t="shared" si="3"/>
        <v>T1ce+FLAIR</v>
      </c>
    </row>
    <row r="113" spans="1:5" x14ac:dyDescent="0.45">
      <c r="A113" t="s">
        <v>112</v>
      </c>
      <c r="B113">
        <v>0.89992278814315796</v>
      </c>
      <c r="C113">
        <v>0.80614781379699696</v>
      </c>
      <c r="D113">
        <v>0.88742107199999998</v>
      </c>
      <c r="E113" t="str">
        <f t="shared" si="3"/>
        <v>T1ce+FLAIR</v>
      </c>
    </row>
    <row r="114" spans="1:5" x14ac:dyDescent="0.45">
      <c r="A114" t="s">
        <v>113</v>
      </c>
      <c r="B114">
        <v>0.96689176559448198</v>
      </c>
      <c r="C114">
        <v>0.94137138128280595</v>
      </c>
      <c r="D114">
        <v>0.96913355599999995</v>
      </c>
      <c r="E114" t="str">
        <f t="shared" si="3"/>
        <v>T1ce+FLAIR</v>
      </c>
    </row>
    <row r="115" spans="1:5" x14ac:dyDescent="0.45">
      <c r="A115" t="s">
        <v>114</v>
      </c>
      <c r="B115">
        <v>0.95048999786376898</v>
      </c>
      <c r="C115">
        <v>0.95104283094406095</v>
      </c>
      <c r="D115">
        <v>0.95512235199999995</v>
      </c>
      <c r="E115" t="str">
        <f t="shared" si="3"/>
        <v>T2+T1ce</v>
      </c>
    </row>
    <row r="116" spans="1:5" x14ac:dyDescent="0.45">
      <c r="A116" t="s">
        <v>115</v>
      </c>
      <c r="B116">
        <v>0.953979551792144</v>
      </c>
      <c r="C116">
        <v>0.93817436695098799</v>
      </c>
      <c r="D116">
        <v>0.95400619499999995</v>
      </c>
      <c r="E116" t="str">
        <f t="shared" si="3"/>
        <v>T1ce+FLAIR</v>
      </c>
    </row>
    <row r="117" spans="1:5" x14ac:dyDescent="0.45">
      <c r="A117" t="s">
        <v>116</v>
      </c>
      <c r="B117">
        <v>0.94017791748046797</v>
      </c>
      <c r="C117">
        <v>0.90403163433074896</v>
      </c>
      <c r="D117">
        <v>0.94022440900000004</v>
      </c>
      <c r="E117" t="str">
        <f t="shared" si="3"/>
        <v>T1ce+FLAIR</v>
      </c>
    </row>
    <row r="118" spans="1:5" x14ac:dyDescent="0.45">
      <c r="A118" t="s">
        <v>117</v>
      </c>
      <c r="B118">
        <v>0.934933722019195</v>
      </c>
      <c r="C118">
        <v>0.87822818756103505</v>
      </c>
      <c r="D118">
        <v>0.93577587600000001</v>
      </c>
      <c r="E118" t="str">
        <f t="shared" si="3"/>
        <v>T1ce+FLAIR</v>
      </c>
    </row>
    <row r="119" spans="1:5" x14ac:dyDescent="0.45">
      <c r="A119" t="s">
        <v>118</v>
      </c>
      <c r="B119">
        <v>0.92809510231018</v>
      </c>
      <c r="C119">
        <v>0.89033895730972201</v>
      </c>
      <c r="D119">
        <v>0.93020778900000001</v>
      </c>
      <c r="E119" t="str">
        <f t="shared" si="3"/>
        <v>T1ce+FLAIR</v>
      </c>
    </row>
    <row r="120" spans="1:5" x14ac:dyDescent="0.45">
      <c r="A120" t="s">
        <v>119</v>
      </c>
      <c r="B120">
        <v>0.94773322343826205</v>
      </c>
      <c r="C120">
        <v>0.911587834358215</v>
      </c>
      <c r="D120">
        <v>0.94918745800000004</v>
      </c>
      <c r="E120" t="str">
        <f t="shared" si="3"/>
        <v>T1ce+FLAIR</v>
      </c>
    </row>
    <row r="121" spans="1:5" x14ac:dyDescent="0.45">
      <c r="A121" t="s">
        <v>120</v>
      </c>
      <c r="B121">
        <v>0.95032232999801602</v>
      </c>
      <c r="C121">
        <v>0.94423973560333196</v>
      </c>
      <c r="D121">
        <v>0.95709085500000002</v>
      </c>
      <c r="E121" t="str">
        <f t="shared" si="3"/>
        <v>T1ce+FLAIR</v>
      </c>
    </row>
    <row r="122" spans="1:5" x14ac:dyDescent="0.45">
      <c r="A122" t="s">
        <v>121</v>
      </c>
      <c r="B122">
        <v>0.95625025033950795</v>
      </c>
      <c r="C122">
        <v>0.93514621257781905</v>
      </c>
      <c r="D122">
        <v>0.95938235500000002</v>
      </c>
      <c r="E122" t="str">
        <f t="shared" si="3"/>
        <v>T1ce+FLAIR</v>
      </c>
    </row>
    <row r="123" spans="1:5" x14ac:dyDescent="0.45">
      <c r="A123" t="s">
        <v>122</v>
      </c>
      <c r="B123">
        <v>0.96487313508987405</v>
      </c>
      <c r="C123">
        <v>0.91874474287033003</v>
      </c>
      <c r="D123">
        <v>0.96610641500000005</v>
      </c>
      <c r="E123" t="str">
        <f t="shared" si="3"/>
        <v>T1ce+FLAIR</v>
      </c>
    </row>
    <row r="124" spans="1:5" x14ac:dyDescent="0.45">
      <c r="A124" t="s">
        <v>123</v>
      </c>
      <c r="B124">
        <v>0.959184169769287</v>
      </c>
      <c r="C124">
        <v>0.934772789478302</v>
      </c>
      <c r="D124">
        <v>0.95777749999999995</v>
      </c>
      <c r="E124" t="str">
        <f t="shared" si="3"/>
        <v>T1ce+FLAIR</v>
      </c>
    </row>
    <row r="125" spans="1:5" x14ac:dyDescent="0.45">
      <c r="A125" t="s">
        <v>124</v>
      </c>
      <c r="B125">
        <v>0.91357105970382602</v>
      </c>
      <c r="C125">
        <v>0.90753144025802601</v>
      </c>
      <c r="D125">
        <v>0.91899991000000003</v>
      </c>
      <c r="E125" t="str">
        <f t="shared" si="3"/>
        <v>T1ce+FLAIR</v>
      </c>
    </row>
    <row r="126" spans="1:5" x14ac:dyDescent="0.45">
      <c r="A126" t="s">
        <v>125</v>
      </c>
      <c r="B126">
        <v>0.88625961542129505</v>
      </c>
      <c r="C126">
        <v>0.83536785840988104</v>
      </c>
      <c r="D126">
        <v>0.89035361999999996</v>
      </c>
      <c r="E126" t="str">
        <f t="shared" si="3"/>
        <v>T1ce+FLAIR</v>
      </c>
    </row>
    <row r="127" spans="1:5" x14ac:dyDescent="0.45">
      <c r="A127" t="s">
        <v>126</v>
      </c>
      <c r="B127">
        <v>0.92809754610061601</v>
      </c>
      <c r="C127">
        <v>0.91486406326293901</v>
      </c>
      <c r="D127">
        <v>0.93551361600000005</v>
      </c>
      <c r="E127" t="str">
        <f t="shared" si="3"/>
        <v>T1ce+FLAIR</v>
      </c>
    </row>
    <row r="128" spans="1:5" x14ac:dyDescent="0.45">
      <c r="A128" t="s">
        <v>127</v>
      </c>
      <c r="B128">
        <v>0.93443524837493896</v>
      </c>
      <c r="C128">
        <v>0.90901213884353604</v>
      </c>
      <c r="D128">
        <v>0.93556439899999999</v>
      </c>
      <c r="E128" t="str">
        <f t="shared" si="3"/>
        <v>T1ce+FLAIR</v>
      </c>
    </row>
    <row r="129" spans="1:5" x14ac:dyDescent="0.45">
      <c r="A129" t="s">
        <v>128</v>
      </c>
      <c r="B129">
        <v>0.96326094865798895</v>
      </c>
      <c r="C129">
        <v>0.93984198570251398</v>
      </c>
      <c r="D129">
        <v>0.96474307800000003</v>
      </c>
      <c r="E129" t="str">
        <f t="shared" si="3"/>
        <v>T1ce+FLAIR</v>
      </c>
    </row>
    <row r="130" spans="1:5" x14ac:dyDescent="0.45">
      <c r="A130" t="s">
        <v>129</v>
      </c>
      <c r="B130">
        <v>0.96942478418350198</v>
      </c>
      <c r="C130">
        <v>0.92336720228195102</v>
      </c>
      <c r="D130">
        <v>0.967290223</v>
      </c>
      <c r="E130" t="str">
        <f t="shared" ref="E130:E161" si="4">IF(B130&gt;C130,"T1ce+FLAIR","T2+T1ce")</f>
        <v>T1ce+FLAIR</v>
      </c>
    </row>
    <row r="131" spans="1:5" x14ac:dyDescent="0.45">
      <c r="A131" t="s">
        <v>130</v>
      </c>
      <c r="B131">
        <v>0.95588970184326105</v>
      </c>
      <c r="C131">
        <v>0.91578042507171598</v>
      </c>
      <c r="D131">
        <v>0.95453470900000004</v>
      </c>
      <c r="E131" t="str">
        <f t="shared" si="4"/>
        <v>T1ce+FLAIR</v>
      </c>
    </row>
    <row r="132" spans="1:5" x14ac:dyDescent="0.45">
      <c r="A132" t="s">
        <v>131</v>
      </c>
      <c r="B132">
        <v>0.93050295114517201</v>
      </c>
      <c r="C132">
        <v>0.92712074518203702</v>
      </c>
      <c r="D132">
        <v>0.93454432499999995</v>
      </c>
      <c r="E132" t="str">
        <f t="shared" si="4"/>
        <v>T1ce+FLAIR</v>
      </c>
    </row>
    <row r="133" spans="1:5" x14ac:dyDescent="0.45">
      <c r="A133" t="s">
        <v>132</v>
      </c>
      <c r="B133">
        <v>0.86958193778991699</v>
      </c>
      <c r="C133">
        <v>0.73547554016113204</v>
      </c>
      <c r="D133">
        <v>0.85339957499999997</v>
      </c>
      <c r="E133" t="str">
        <f t="shared" si="4"/>
        <v>T1ce+FLAIR</v>
      </c>
    </row>
    <row r="134" spans="1:5" x14ac:dyDescent="0.45">
      <c r="A134" t="s">
        <v>133</v>
      </c>
      <c r="B134">
        <v>0.87643808126449496</v>
      </c>
      <c r="C134">
        <v>0.82999050617217995</v>
      </c>
      <c r="D134">
        <v>0.88599842799999995</v>
      </c>
      <c r="E134" t="str">
        <f t="shared" si="4"/>
        <v>T1ce+FLAIR</v>
      </c>
    </row>
    <row r="135" spans="1:5" x14ac:dyDescent="0.45">
      <c r="A135" t="s">
        <v>134</v>
      </c>
      <c r="B135">
        <v>0.94585746526718095</v>
      </c>
      <c r="C135">
        <v>0.91414546966552701</v>
      </c>
      <c r="D135">
        <v>0.94492363899999998</v>
      </c>
      <c r="E135" t="str">
        <f t="shared" si="4"/>
        <v>T1ce+FLAIR</v>
      </c>
    </row>
    <row r="136" spans="1:5" x14ac:dyDescent="0.45">
      <c r="A136" t="s">
        <v>135</v>
      </c>
      <c r="B136">
        <v>0.91069853305816595</v>
      </c>
      <c r="C136">
        <v>0.898931324481964</v>
      </c>
      <c r="D136">
        <v>0.92373067099999995</v>
      </c>
      <c r="E136" t="str">
        <f t="shared" si="4"/>
        <v>T1ce+FLAIR</v>
      </c>
    </row>
    <row r="137" spans="1:5" x14ac:dyDescent="0.45">
      <c r="A137" t="s">
        <v>136</v>
      </c>
      <c r="B137">
        <v>0.92205446958541804</v>
      </c>
      <c r="C137">
        <v>0.83445262908935502</v>
      </c>
      <c r="D137">
        <v>0.92273729999999998</v>
      </c>
      <c r="E137" t="str">
        <f t="shared" si="4"/>
        <v>T1ce+FLAIR</v>
      </c>
    </row>
    <row r="138" spans="1:5" x14ac:dyDescent="0.45">
      <c r="A138" t="s">
        <v>137</v>
      </c>
      <c r="B138">
        <v>0.93158471584320002</v>
      </c>
      <c r="C138">
        <v>0.88219213485717696</v>
      </c>
      <c r="D138">
        <v>0.93751543800000003</v>
      </c>
      <c r="E138" t="str">
        <f t="shared" si="4"/>
        <v>T1ce+FLAIR</v>
      </c>
    </row>
    <row r="139" spans="1:5" x14ac:dyDescent="0.45">
      <c r="A139" t="s">
        <v>138</v>
      </c>
      <c r="B139">
        <v>0.93672466278076105</v>
      </c>
      <c r="C139">
        <v>0.906704902648925</v>
      </c>
      <c r="D139">
        <v>0.93887972799999997</v>
      </c>
      <c r="E139" t="str">
        <f t="shared" si="4"/>
        <v>T1ce+FLAIR</v>
      </c>
    </row>
    <row r="140" spans="1:5" x14ac:dyDescent="0.45">
      <c r="A140" t="s">
        <v>139</v>
      </c>
      <c r="B140">
        <v>0.90925931930541903</v>
      </c>
      <c r="C140">
        <v>0.89220684766769398</v>
      </c>
      <c r="D140">
        <v>0.91988325100000001</v>
      </c>
      <c r="E140" t="str">
        <f t="shared" si="4"/>
        <v>T1ce+FLAIR</v>
      </c>
    </row>
    <row r="141" spans="1:5" x14ac:dyDescent="0.45">
      <c r="A141" t="s">
        <v>140</v>
      </c>
      <c r="B141">
        <v>0.86133164167404097</v>
      </c>
      <c r="C141">
        <v>0.76058763265609697</v>
      </c>
      <c r="D141">
        <v>0.86262786400000002</v>
      </c>
      <c r="E141" t="str">
        <f t="shared" si="4"/>
        <v>T1ce+FLAIR</v>
      </c>
    </row>
    <row r="142" spans="1:5" x14ac:dyDescent="0.45">
      <c r="A142" t="s">
        <v>141</v>
      </c>
      <c r="B142">
        <v>0.91654920578002896</v>
      </c>
      <c r="C142">
        <v>0.89695912599563599</v>
      </c>
      <c r="D142">
        <v>0.93429934999999997</v>
      </c>
      <c r="E142" t="str">
        <f t="shared" si="4"/>
        <v>T1ce+FLAIR</v>
      </c>
    </row>
    <row r="143" spans="1:5" x14ac:dyDescent="0.45">
      <c r="A143" t="s">
        <v>142</v>
      </c>
      <c r="B143">
        <v>0.95964002609252896</v>
      </c>
      <c r="C143">
        <v>0.93676686286926203</v>
      </c>
      <c r="D143">
        <v>0.95848655699999996</v>
      </c>
      <c r="E143" t="str">
        <f t="shared" si="4"/>
        <v>T1ce+FLAIR</v>
      </c>
    </row>
    <row r="144" spans="1:5" x14ac:dyDescent="0.45">
      <c r="A144" t="s">
        <v>143</v>
      </c>
      <c r="B144">
        <v>0.88672912120819003</v>
      </c>
      <c r="C144">
        <v>0.87740558385848999</v>
      </c>
      <c r="D144">
        <v>0.89178657500000003</v>
      </c>
      <c r="E144" t="str">
        <f t="shared" si="4"/>
        <v>T1ce+FLAIR</v>
      </c>
    </row>
    <row r="145" spans="1:5" x14ac:dyDescent="0.45">
      <c r="A145" t="s">
        <v>144</v>
      </c>
      <c r="B145">
        <v>0.93264871835708596</v>
      </c>
      <c r="C145">
        <v>0.90313750505447299</v>
      </c>
      <c r="D145">
        <v>0.93209588499999996</v>
      </c>
      <c r="E145" t="str">
        <f t="shared" si="4"/>
        <v>T1ce+FLAIR</v>
      </c>
    </row>
    <row r="146" spans="1:5" x14ac:dyDescent="0.45">
      <c r="A146" t="s">
        <v>145</v>
      </c>
      <c r="B146">
        <v>0.96454471349716098</v>
      </c>
      <c r="C146">
        <v>0.93924725055694502</v>
      </c>
      <c r="D146">
        <v>0.96706831500000001</v>
      </c>
      <c r="E146" t="str">
        <f t="shared" si="4"/>
        <v>T1ce+FLAIR</v>
      </c>
    </row>
    <row r="147" spans="1:5" x14ac:dyDescent="0.45">
      <c r="A147" t="s">
        <v>146</v>
      </c>
      <c r="B147">
        <v>0.95359855890274003</v>
      </c>
      <c r="C147">
        <v>0.92638587951660101</v>
      </c>
      <c r="D147">
        <v>0.95431286100000001</v>
      </c>
      <c r="E147" t="str">
        <f t="shared" si="4"/>
        <v>T1ce+FLAIR</v>
      </c>
    </row>
    <row r="148" spans="1:5" x14ac:dyDescent="0.45">
      <c r="A148" t="s">
        <v>147</v>
      </c>
      <c r="B148">
        <v>0.96910911798477095</v>
      </c>
      <c r="C148">
        <v>0.94943898916244496</v>
      </c>
      <c r="D148">
        <v>0.96938669700000002</v>
      </c>
      <c r="E148" t="str">
        <f t="shared" si="4"/>
        <v>T1ce+FLAIR</v>
      </c>
    </row>
    <row r="149" spans="1:5" x14ac:dyDescent="0.45">
      <c r="A149" t="s">
        <v>148</v>
      </c>
      <c r="B149">
        <v>0.936692655086517</v>
      </c>
      <c r="C149">
        <v>0.92686951160430897</v>
      </c>
      <c r="D149">
        <v>0.93723314999999996</v>
      </c>
      <c r="E149" t="str">
        <f t="shared" si="4"/>
        <v>T1ce+FLAIR</v>
      </c>
    </row>
    <row r="150" spans="1:5" x14ac:dyDescent="0.45">
      <c r="A150" t="s">
        <v>149</v>
      </c>
      <c r="B150">
        <v>0.62478417158126798</v>
      </c>
      <c r="C150">
        <v>0.72543019056320102</v>
      </c>
      <c r="D150">
        <v>0.68852877599999995</v>
      </c>
      <c r="E150" t="str">
        <f t="shared" si="4"/>
        <v>T2+T1ce</v>
      </c>
    </row>
    <row r="151" spans="1:5" x14ac:dyDescent="0.45">
      <c r="A151" t="s">
        <v>150</v>
      </c>
      <c r="B151">
        <v>0.92673718929290705</v>
      </c>
      <c r="C151">
        <v>0.87192076444625799</v>
      </c>
      <c r="D151">
        <v>0.92687129999999995</v>
      </c>
      <c r="E151" t="str">
        <f t="shared" si="4"/>
        <v>T1ce+FLAIR</v>
      </c>
    </row>
    <row r="152" spans="1:5" x14ac:dyDescent="0.45">
      <c r="A152" t="s">
        <v>151</v>
      </c>
      <c r="B152">
        <v>0.95748263597488403</v>
      </c>
      <c r="C152">
        <v>0.92951452732086104</v>
      </c>
      <c r="D152">
        <v>0.96103018500000004</v>
      </c>
      <c r="E152" t="str">
        <f t="shared" si="4"/>
        <v>T1ce+FLAIR</v>
      </c>
    </row>
    <row r="153" spans="1:5" x14ac:dyDescent="0.45">
      <c r="A153" t="s">
        <v>152</v>
      </c>
      <c r="B153">
        <v>0.94264543056488004</v>
      </c>
      <c r="C153">
        <v>0.906080722808837</v>
      </c>
      <c r="D153">
        <v>0.94324314600000003</v>
      </c>
      <c r="E153" t="str">
        <f t="shared" si="4"/>
        <v>T1ce+FLAIR</v>
      </c>
    </row>
    <row r="154" spans="1:5" x14ac:dyDescent="0.45">
      <c r="A154" t="s">
        <v>153</v>
      </c>
      <c r="B154">
        <v>0.939547538757324</v>
      </c>
      <c r="C154">
        <v>0.93126475811004605</v>
      </c>
      <c r="D154">
        <v>0.94249188900000003</v>
      </c>
      <c r="E154" t="str">
        <f t="shared" si="4"/>
        <v>T1ce+FLAIR</v>
      </c>
    </row>
    <row r="155" spans="1:5" x14ac:dyDescent="0.45">
      <c r="A155" t="s">
        <v>154</v>
      </c>
      <c r="B155">
        <v>0.94630205631256104</v>
      </c>
      <c r="C155">
        <v>0.909384965896606</v>
      </c>
      <c r="D155">
        <v>0.94705992900000002</v>
      </c>
      <c r="E155" t="str">
        <f t="shared" si="4"/>
        <v>T1ce+FLAIR</v>
      </c>
    </row>
    <row r="156" spans="1:5" x14ac:dyDescent="0.45">
      <c r="A156" t="s">
        <v>155</v>
      </c>
      <c r="B156">
        <v>0.91876333951949996</v>
      </c>
      <c r="C156">
        <v>0.89244979619979803</v>
      </c>
      <c r="D156">
        <v>0.91796040499999998</v>
      </c>
      <c r="E156" t="str">
        <f t="shared" si="4"/>
        <v>T1ce+FLAIR</v>
      </c>
    </row>
    <row r="157" spans="1:5" x14ac:dyDescent="0.45">
      <c r="A157" t="s">
        <v>156</v>
      </c>
      <c r="B157">
        <v>0.826174616813659</v>
      </c>
      <c r="C157">
        <v>0.77869647741317705</v>
      </c>
      <c r="D157">
        <v>0.83260816299999996</v>
      </c>
      <c r="E157" t="str">
        <f t="shared" si="4"/>
        <v>T1ce+FLAIR</v>
      </c>
    </row>
    <row r="158" spans="1:5" x14ac:dyDescent="0.45">
      <c r="A158" t="s">
        <v>157</v>
      </c>
      <c r="B158">
        <v>0.932178974151611</v>
      </c>
      <c r="C158">
        <v>0.91336673498153598</v>
      </c>
      <c r="D158">
        <v>0.93971794799999997</v>
      </c>
      <c r="E158" t="str">
        <f t="shared" si="4"/>
        <v>T1ce+FLAIR</v>
      </c>
    </row>
    <row r="159" spans="1:5" x14ac:dyDescent="0.45">
      <c r="A159" t="s">
        <v>158</v>
      </c>
      <c r="B159">
        <v>0.97209334373474099</v>
      </c>
      <c r="C159">
        <v>0.95805406570434504</v>
      </c>
      <c r="D159">
        <v>0.97466868200000001</v>
      </c>
      <c r="E159" t="str">
        <f t="shared" si="4"/>
        <v>T1ce+FLAIR</v>
      </c>
    </row>
    <row r="160" spans="1:5" x14ac:dyDescent="0.45">
      <c r="A160" t="s">
        <v>159</v>
      </c>
      <c r="B160">
        <v>0.93858683109283403</v>
      </c>
      <c r="C160">
        <v>0.95131498575210505</v>
      </c>
      <c r="D160">
        <v>0.94462776199999998</v>
      </c>
      <c r="E160" t="str">
        <f t="shared" si="4"/>
        <v>T2+T1ce</v>
      </c>
    </row>
    <row r="161" spans="1:5" x14ac:dyDescent="0.45">
      <c r="A161" t="s">
        <v>160</v>
      </c>
      <c r="B161">
        <v>0.95147514343261697</v>
      </c>
      <c r="C161">
        <v>0.92472165822982699</v>
      </c>
      <c r="D161">
        <v>0.95447558200000004</v>
      </c>
      <c r="E161" t="str">
        <f t="shared" si="4"/>
        <v>T1ce+FLAIR</v>
      </c>
    </row>
    <row r="162" spans="1:5" x14ac:dyDescent="0.45">
      <c r="A162" t="s">
        <v>161</v>
      </c>
      <c r="B162">
        <v>0.91064774990081698</v>
      </c>
      <c r="C162">
        <v>0.89102190732955899</v>
      </c>
      <c r="D162">
        <v>0.91331553499999996</v>
      </c>
      <c r="E162" t="str">
        <f t="shared" ref="E162:E189" si="5">IF(B162&gt;C162,"T1ce+FLAIR","T2+T1ce")</f>
        <v>T1ce+FLAIR</v>
      </c>
    </row>
    <row r="163" spans="1:5" x14ac:dyDescent="0.45">
      <c r="A163" t="s">
        <v>162</v>
      </c>
      <c r="B163">
        <v>0.93800818920135498</v>
      </c>
      <c r="C163">
        <v>0.92735612392425504</v>
      </c>
      <c r="D163">
        <v>0.94408798199999999</v>
      </c>
      <c r="E163" t="str">
        <f t="shared" si="5"/>
        <v>T1ce+FLAIR</v>
      </c>
    </row>
    <row r="164" spans="1:5" x14ac:dyDescent="0.45">
      <c r="A164" t="s">
        <v>163</v>
      </c>
      <c r="B164">
        <v>0.90694004297256403</v>
      </c>
      <c r="C164">
        <v>0.83420467376708896</v>
      </c>
      <c r="D164">
        <v>0.92221438899999997</v>
      </c>
      <c r="E164" t="str">
        <f t="shared" si="5"/>
        <v>T1ce+FLAIR</v>
      </c>
    </row>
    <row r="165" spans="1:5" x14ac:dyDescent="0.45">
      <c r="A165" t="s">
        <v>164</v>
      </c>
      <c r="B165">
        <v>0.92424845695495605</v>
      </c>
      <c r="C165">
        <v>0.84219062328338601</v>
      </c>
      <c r="D165">
        <v>0.92178773899999999</v>
      </c>
      <c r="E165" t="str">
        <f t="shared" si="5"/>
        <v>T1ce+FLAIR</v>
      </c>
    </row>
    <row r="166" spans="1:5" x14ac:dyDescent="0.45">
      <c r="A166" t="s">
        <v>165</v>
      </c>
      <c r="B166">
        <v>0.82316845655441195</v>
      </c>
      <c r="C166">
        <v>0.791642665863037</v>
      </c>
      <c r="D166">
        <v>0.82200539100000003</v>
      </c>
      <c r="E166" t="str">
        <f t="shared" si="5"/>
        <v>T1ce+FLAIR</v>
      </c>
    </row>
    <row r="167" spans="1:5" x14ac:dyDescent="0.45">
      <c r="A167" t="s">
        <v>166</v>
      </c>
      <c r="B167">
        <v>0.78824549913406305</v>
      </c>
      <c r="C167">
        <v>0.71863430738449097</v>
      </c>
      <c r="D167">
        <v>0.78347539899999996</v>
      </c>
      <c r="E167" t="str">
        <f t="shared" si="5"/>
        <v>T1ce+FLAIR</v>
      </c>
    </row>
    <row r="168" spans="1:5" x14ac:dyDescent="0.45">
      <c r="A168" t="s">
        <v>167</v>
      </c>
      <c r="B168">
        <v>0.89512062072753895</v>
      </c>
      <c r="C168">
        <v>0.92825204133987405</v>
      </c>
      <c r="D168">
        <v>0.93525433499999999</v>
      </c>
      <c r="E168" t="str">
        <f t="shared" si="5"/>
        <v>T2+T1ce</v>
      </c>
    </row>
    <row r="169" spans="1:5" x14ac:dyDescent="0.45">
      <c r="A169" t="s">
        <v>168</v>
      </c>
      <c r="B169">
        <v>0.97021692991256703</v>
      </c>
      <c r="C169">
        <v>0.96806257963180498</v>
      </c>
      <c r="D169">
        <v>0.97138065100000004</v>
      </c>
      <c r="E169" t="str">
        <f t="shared" si="5"/>
        <v>T1ce+FLAIR</v>
      </c>
    </row>
    <row r="170" spans="1:5" x14ac:dyDescent="0.45">
      <c r="A170" t="s">
        <v>169</v>
      </c>
      <c r="B170">
        <v>0.91949021816253595</v>
      </c>
      <c r="C170">
        <v>0.88401573896408003</v>
      </c>
      <c r="D170">
        <v>0.91411691900000003</v>
      </c>
      <c r="E170" t="str">
        <f t="shared" si="5"/>
        <v>T1ce+FLAIR</v>
      </c>
    </row>
    <row r="171" spans="1:5" x14ac:dyDescent="0.45">
      <c r="A171" t="s">
        <v>170</v>
      </c>
      <c r="B171">
        <v>0.90895181894302302</v>
      </c>
      <c r="C171">
        <v>0.88315248489379805</v>
      </c>
      <c r="D171">
        <v>0.92611390400000004</v>
      </c>
      <c r="E171" t="str">
        <f t="shared" si="5"/>
        <v>T1ce+FLAIR</v>
      </c>
    </row>
    <row r="172" spans="1:5" x14ac:dyDescent="0.45">
      <c r="A172" t="s">
        <v>171</v>
      </c>
      <c r="B172">
        <v>0.92489695549011197</v>
      </c>
      <c r="C172">
        <v>0.84838455915451005</v>
      </c>
      <c r="D172">
        <v>0.91983187200000005</v>
      </c>
      <c r="E172" t="str">
        <f t="shared" si="5"/>
        <v>T1ce+FLAIR</v>
      </c>
    </row>
    <row r="173" spans="1:5" x14ac:dyDescent="0.45">
      <c r="A173" t="s">
        <v>172</v>
      </c>
      <c r="B173">
        <v>0.885978102684021</v>
      </c>
      <c r="C173">
        <v>0.840054631233215</v>
      </c>
      <c r="D173">
        <v>0.88729309999999995</v>
      </c>
      <c r="E173" t="str">
        <f t="shared" si="5"/>
        <v>T1ce+FLAIR</v>
      </c>
    </row>
    <row r="174" spans="1:5" x14ac:dyDescent="0.45">
      <c r="A174" t="s">
        <v>173</v>
      </c>
      <c r="B174">
        <v>0.89914786815643299</v>
      </c>
      <c r="C174">
        <v>0.79356455802917403</v>
      </c>
      <c r="D174">
        <v>0.91384643300000001</v>
      </c>
      <c r="E174" t="str">
        <f t="shared" si="5"/>
        <v>T1ce+FLAIR</v>
      </c>
    </row>
    <row r="175" spans="1:5" x14ac:dyDescent="0.45">
      <c r="A175" t="s">
        <v>174</v>
      </c>
      <c r="B175">
        <v>0.26248088479041998</v>
      </c>
      <c r="C175">
        <v>0.25843846797943099</v>
      </c>
      <c r="D175">
        <v>0.25032433900000001</v>
      </c>
      <c r="E175" t="str">
        <f t="shared" si="5"/>
        <v>T1ce+FLAIR</v>
      </c>
    </row>
    <row r="176" spans="1:5" x14ac:dyDescent="0.45">
      <c r="A176" t="s">
        <v>175</v>
      </c>
      <c r="B176">
        <v>0.96561956405639604</v>
      </c>
      <c r="C176">
        <v>0.951055288314819</v>
      </c>
      <c r="D176">
        <v>0.97256028699999997</v>
      </c>
      <c r="E176" t="str">
        <f t="shared" si="5"/>
        <v>T1ce+FLAIR</v>
      </c>
    </row>
    <row r="177" spans="1:5" x14ac:dyDescent="0.45">
      <c r="A177" t="s">
        <v>176</v>
      </c>
      <c r="B177">
        <v>0.95390343666076605</v>
      </c>
      <c r="C177">
        <v>0.88378423452377297</v>
      </c>
      <c r="D177">
        <v>0.95470786100000005</v>
      </c>
      <c r="E177" t="str">
        <f t="shared" si="5"/>
        <v>T1ce+FLAIR</v>
      </c>
    </row>
    <row r="178" spans="1:5" x14ac:dyDescent="0.45">
      <c r="A178" t="s">
        <v>177</v>
      </c>
      <c r="B178">
        <v>0.97165495157241799</v>
      </c>
      <c r="C178">
        <v>0.94757407903671198</v>
      </c>
      <c r="D178">
        <v>0.97201579800000004</v>
      </c>
      <c r="E178" t="str">
        <f t="shared" si="5"/>
        <v>T1ce+FLAIR</v>
      </c>
    </row>
    <row r="179" spans="1:5" x14ac:dyDescent="0.45">
      <c r="A179" t="s">
        <v>178</v>
      </c>
      <c r="B179">
        <v>0.95950073003768899</v>
      </c>
      <c r="C179">
        <v>0.93008506298065097</v>
      </c>
      <c r="D179">
        <v>0.96185666299999995</v>
      </c>
      <c r="E179" t="str">
        <f t="shared" si="5"/>
        <v>T1ce+FLAIR</v>
      </c>
    </row>
    <row r="180" spans="1:5" x14ac:dyDescent="0.45">
      <c r="A180" t="s">
        <v>179</v>
      </c>
      <c r="B180">
        <v>0.93043547868728604</v>
      </c>
      <c r="C180">
        <v>0.89796411991119296</v>
      </c>
      <c r="D180">
        <v>0.93734532599999998</v>
      </c>
      <c r="E180" t="str">
        <f t="shared" si="5"/>
        <v>T1ce+FLAIR</v>
      </c>
    </row>
    <row r="181" spans="1:5" x14ac:dyDescent="0.45">
      <c r="A181" t="s">
        <v>180</v>
      </c>
      <c r="B181">
        <v>0.87930327653884799</v>
      </c>
      <c r="C181">
        <v>0.911962449550628</v>
      </c>
      <c r="D181">
        <v>0.90789604199999996</v>
      </c>
      <c r="E181" t="str">
        <f t="shared" si="5"/>
        <v>T2+T1ce</v>
      </c>
    </row>
    <row r="182" spans="1:5" x14ac:dyDescent="0.45">
      <c r="A182" t="s">
        <v>181</v>
      </c>
      <c r="B182">
        <v>0.84611582756042403</v>
      </c>
      <c r="C182">
        <v>0.78712022304534901</v>
      </c>
      <c r="D182">
        <v>0.84836632000000001</v>
      </c>
      <c r="E182" t="str">
        <f t="shared" si="5"/>
        <v>T1ce+FLAIR</v>
      </c>
    </row>
    <row r="183" spans="1:5" x14ac:dyDescent="0.45">
      <c r="A183" t="s">
        <v>182</v>
      </c>
      <c r="B183">
        <v>0.95703518390655495</v>
      </c>
      <c r="C183">
        <v>0.92883729934692305</v>
      </c>
      <c r="D183">
        <v>0.96156960700000005</v>
      </c>
      <c r="E183" t="str">
        <f t="shared" si="5"/>
        <v>T1ce+FLAIR</v>
      </c>
    </row>
    <row r="184" spans="1:5" x14ac:dyDescent="0.45">
      <c r="A184" t="s">
        <v>183</v>
      </c>
      <c r="B184">
        <v>0.94528675079345703</v>
      </c>
      <c r="C184">
        <v>0.94440555572509699</v>
      </c>
      <c r="D184">
        <v>0.95282161200000004</v>
      </c>
      <c r="E184" t="str">
        <f t="shared" si="5"/>
        <v>T1ce+FLAIR</v>
      </c>
    </row>
    <row r="185" spans="1:5" x14ac:dyDescent="0.45">
      <c r="A185" t="s">
        <v>184</v>
      </c>
      <c r="B185">
        <v>0.96018421649932795</v>
      </c>
      <c r="C185">
        <v>0.92551273107528598</v>
      </c>
      <c r="D185">
        <v>0.96047228600000001</v>
      </c>
      <c r="E185" t="str">
        <f t="shared" si="5"/>
        <v>T1ce+FLAIR</v>
      </c>
    </row>
    <row r="186" spans="1:5" x14ac:dyDescent="0.45">
      <c r="A186" t="s">
        <v>185</v>
      </c>
      <c r="B186">
        <v>0.95622920989990201</v>
      </c>
      <c r="C186">
        <v>0.91529119014739901</v>
      </c>
      <c r="D186">
        <v>0.95205104399999996</v>
      </c>
      <c r="E186" t="str">
        <f t="shared" si="5"/>
        <v>T1ce+FLAIR</v>
      </c>
    </row>
    <row r="187" spans="1:5" x14ac:dyDescent="0.45">
      <c r="A187" t="s">
        <v>186</v>
      </c>
      <c r="B187">
        <v>0.94026255607604903</v>
      </c>
      <c r="C187">
        <v>0.91584199666976895</v>
      </c>
      <c r="D187">
        <v>0.94541764299999997</v>
      </c>
      <c r="E187" t="str">
        <f t="shared" si="5"/>
        <v>T1ce+FLAIR</v>
      </c>
    </row>
    <row r="188" spans="1:5" x14ac:dyDescent="0.45">
      <c r="A188" t="s">
        <v>187</v>
      </c>
      <c r="B188">
        <v>0.83876216411590498</v>
      </c>
      <c r="C188">
        <v>0.82979536056518499</v>
      </c>
      <c r="D188">
        <v>0.84350585899999997</v>
      </c>
      <c r="E188" t="str">
        <f t="shared" si="5"/>
        <v>T1ce+FLAIR</v>
      </c>
    </row>
    <row r="189" spans="1:5" x14ac:dyDescent="0.45">
      <c r="A189" t="s">
        <v>188</v>
      </c>
      <c r="B189">
        <v>0.91377472877502397</v>
      </c>
      <c r="C189">
        <v>0.82914215326309204</v>
      </c>
      <c r="D189">
        <v>0.92001968599999995</v>
      </c>
      <c r="E189" t="str">
        <f t="shared" si="5"/>
        <v>T1ce+FLAIR</v>
      </c>
    </row>
    <row r="191" spans="1:5" x14ac:dyDescent="0.45">
      <c r="D191">
        <v>0.25032433900000001</v>
      </c>
    </row>
    <row r="192" spans="1:5" x14ac:dyDescent="0.45">
      <c r="D192">
        <v>0.97576415500000002</v>
      </c>
    </row>
  </sheetData>
  <mergeCells count="2">
    <mergeCell ref="K3:L3"/>
    <mergeCell ref="K8:L8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4EAD-F953-483D-BB5B-401F86BADE38}">
  <dimension ref="A1:R192"/>
  <sheetViews>
    <sheetView workbookViewId="0">
      <selection activeCell="D1" activeCellId="1" sqref="B1:B1048576 D1:D1048576"/>
    </sheetView>
  </sheetViews>
  <sheetFormatPr defaultRowHeight="14.25" x14ac:dyDescent="0.45"/>
  <cols>
    <col min="1" max="1" width="17.59765625" bestFit="1" customWidth="1"/>
    <col min="2" max="3" width="14.59765625" bestFit="1" customWidth="1"/>
    <col min="5" max="5" width="9.6640625" bestFit="1" customWidth="1"/>
    <col min="6" max="6" width="18.53125" bestFit="1" customWidth="1"/>
    <col min="7" max="7" width="17.06640625" bestFit="1" customWidth="1"/>
    <col min="14" max="14" width="9.6640625" bestFit="1" customWidth="1"/>
  </cols>
  <sheetData>
    <row r="1" spans="1:18" x14ac:dyDescent="0.45">
      <c r="A1" t="s">
        <v>0</v>
      </c>
      <c r="B1" t="s">
        <v>190</v>
      </c>
      <c r="C1" t="s">
        <v>191</v>
      </c>
      <c r="D1" t="s">
        <v>206</v>
      </c>
      <c r="F1" t="s">
        <v>207</v>
      </c>
      <c r="G1" t="s">
        <v>209</v>
      </c>
    </row>
    <row r="2" spans="1:18" x14ac:dyDescent="0.45">
      <c r="A2" t="s">
        <v>1</v>
      </c>
      <c r="B2">
        <v>0.967876076698303</v>
      </c>
      <c r="C2">
        <v>0.971485376358032</v>
      </c>
      <c r="D2">
        <v>0.972109318</v>
      </c>
      <c r="E2" t="str">
        <f t="shared" ref="E2:E33" si="0">IF(B2&gt;C2,"T1ce+FLAIR","T2+T1ce")</f>
        <v>T2+T1ce</v>
      </c>
      <c r="F2" t="str">
        <f>IF(B2&gt;D2,"T1ce+FLAIR","Ensemble")</f>
        <v>Ensemble</v>
      </c>
      <c r="G2" t="str">
        <f>IF(C2&gt;D2,"T2+T1ce","Ensemble")</f>
        <v>Ensemble</v>
      </c>
    </row>
    <row r="3" spans="1:18" x14ac:dyDescent="0.45">
      <c r="A3" t="s">
        <v>2</v>
      </c>
      <c r="B3">
        <v>0.96003222465515103</v>
      </c>
      <c r="C3">
        <v>0.96076631546020497</v>
      </c>
      <c r="D3">
        <v>0.965536952</v>
      </c>
      <c r="E3" t="str">
        <f t="shared" si="0"/>
        <v>T2+T1ce</v>
      </c>
      <c r="F3" t="str">
        <f t="shared" ref="F3:F66" si="1">IF(B3&gt;D3,"T1ce+FLAIR","Ensemble")</f>
        <v>Ensemble</v>
      </c>
      <c r="G3" t="str">
        <f t="shared" ref="G3:G66" si="2">IF(C3&gt;D3,"T2+T1ce","Ensemble")</f>
        <v>Ensemble</v>
      </c>
    </row>
    <row r="4" spans="1:18" x14ac:dyDescent="0.45">
      <c r="A4" t="s">
        <v>3</v>
      </c>
      <c r="B4">
        <v>0.85246843099594105</v>
      </c>
      <c r="C4">
        <v>0.83052814006805398</v>
      </c>
      <c r="D4">
        <v>0.84706580600000003</v>
      </c>
      <c r="E4" t="str">
        <f t="shared" si="0"/>
        <v>T1ce+FLAIR</v>
      </c>
      <c r="F4" t="str">
        <f t="shared" si="1"/>
        <v>T1ce+FLAIR</v>
      </c>
      <c r="G4" t="str">
        <f t="shared" si="2"/>
        <v>Ensemble</v>
      </c>
      <c r="K4" s="3" t="s">
        <v>201</v>
      </c>
      <c r="L4" s="3"/>
      <c r="N4" s="3" t="s">
        <v>201</v>
      </c>
      <c r="O4" s="3"/>
      <c r="Q4" s="3" t="s">
        <v>201</v>
      </c>
      <c r="R4" s="3"/>
    </row>
    <row r="5" spans="1:18" x14ac:dyDescent="0.45">
      <c r="A5" t="s">
        <v>4</v>
      </c>
      <c r="B5">
        <v>0.97149157524108798</v>
      </c>
      <c r="C5">
        <v>0.96463137865066495</v>
      </c>
      <c r="D5">
        <v>0.97258722799999997</v>
      </c>
      <c r="E5" t="str">
        <f t="shared" si="0"/>
        <v>T1ce+FLAIR</v>
      </c>
      <c r="F5" t="str">
        <f t="shared" si="1"/>
        <v>Ensemble</v>
      </c>
      <c r="G5" t="str">
        <f t="shared" si="2"/>
        <v>Ensemble</v>
      </c>
      <c r="K5" s="2" t="s">
        <v>198</v>
      </c>
      <c r="L5" s="2">
        <f>COUNTIF(E2:E189, "T1ce+FLAIR")</f>
        <v>120</v>
      </c>
      <c r="N5" s="2" t="s">
        <v>198</v>
      </c>
      <c r="O5" s="2">
        <f>COUNTIF(F2:F189, "T1ce+FLAIR")</f>
        <v>52</v>
      </c>
      <c r="Q5" s="2" t="s">
        <v>199</v>
      </c>
      <c r="R5" s="2">
        <f>COUNTIF(G2:G189, "T2+T1ce")</f>
        <v>31</v>
      </c>
    </row>
    <row r="6" spans="1:18" x14ac:dyDescent="0.45">
      <c r="A6" t="s">
        <v>5</v>
      </c>
      <c r="B6">
        <v>0.79248660802841098</v>
      </c>
      <c r="C6">
        <v>0.82490271329879705</v>
      </c>
      <c r="D6">
        <v>0.84600388999999998</v>
      </c>
      <c r="E6" t="str">
        <f t="shared" si="0"/>
        <v>T2+T1ce</v>
      </c>
      <c r="F6" t="str">
        <f t="shared" si="1"/>
        <v>Ensemble</v>
      </c>
      <c r="G6" t="str">
        <f t="shared" si="2"/>
        <v>Ensemble</v>
      </c>
      <c r="K6" s="2" t="s">
        <v>199</v>
      </c>
      <c r="L6" s="2">
        <f>COUNTIF(E2:E189, "T2+T1ce")</f>
        <v>68</v>
      </c>
      <c r="N6" s="2" t="s">
        <v>208</v>
      </c>
      <c r="O6" s="2">
        <f>COUNTIF(F2:F189, "Ensemble")</f>
        <v>136</v>
      </c>
      <c r="Q6" s="2" t="s">
        <v>208</v>
      </c>
      <c r="R6" s="2">
        <f>COUNTIF(G2:G189, "Ensemble")</f>
        <v>157</v>
      </c>
    </row>
    <row r="7" spans="1:18" x14ac:dyDescent="0.45">
      <c r="A7" t="s">
        <v>6</v>
      </c>
      <c r="B7">
        <v>0.86868977546691895</v>
      </c>
      <c r="C7">
        <v>0.86034226417541504</v>
      </c>
      <c r="D7">
        <v>0.87695962199999999</v>
      </c>
      <c r="E7" t="str">
        <f t="shared" si="0"/>
        <v>T1ce+FLAIR</v>
      </c>
      <c r="F7" t="str">
        <f t="shared" si="1"/>
        <v>Ensemble</v>
      </c>
      <c r="G7" t="str">
        <f t="shared" si="2"/>
        <v>Ensemble</v>
      </c>
    </row>
    <row r="8" spans="1:18" x14ac:dyDescent="0.45">
      <c r="A8" t="s">
        <v>7</v>
      </c>
      <c r="B8">
        <v>0.91954386234283403</v>
      </c>
      <c r="C8">
        <v>0.92712879180908203</v>
      </c>
      <c r="D8">
        <v>0.92534399000000001</v>
      </c>
      <c r="E8" t="str">
        <f t="shared" si="0"/>
        <v>T2+T1ce</v>
      </c>
      <c r="F8" t="str">
        <f t="shared" si="1"/>
        <v>Ensemble</v>
      </c>
      <c r="G8" t="str">
        <f t="shared" si="2"/>
        <v>T2+T1ce</v>
      </c>
    </row>
    <row r="9" spans="1:18" x14ac:dyDescent="0.45">
      <c r="A9" t="s">
        <v>8</v>
      </c>
      <c r="B9">
        <v>0.94435667991638095</v>
      </c>
      <c r="C9">
        <v>0.95322793722152699</v>
      </c>
      <c r="D9">
        <v>0.95275080199999995</v>
      </c>
      <c r="E9" t="str">
        <f t="shared" si="0"/>
        <v>T2+T1ce</v>
      </c>
      <c r="F9" t="str">
        <f t="shared" si="1"/>
        <v>Ensemble</v>
      </c>
      <c r="G9" t="str">
        <f t="shared" si="2"/>
        <v>T2+T1ce</v>
      </c>
    </row>
    <row r="10" spans="1:18" x14ac:dyDescent="0.45">
      <c r="A10" t="s">
        <v>9</v>
      </c>
      <c r="B10">
        <v>0.973166704177856</v>
      </c>
      <c r="C10">
        <v>0.97186213731765703</v>
      </c>
      <c r="D10">
        <v>0.97433602799999997</v>
      </c>
      <c r="E10" t="str">
        <f t="shared" si="0"/>
        <v>T1ce+FLAIR</v>
      </c>
      <c r="F10" t="str">
        <f t="shared" si="1"/>
        <v>Ensemble</v>
      </c>
      <c r="G10" t="str">
        <f t="shared" si="2"/>
        <v>Ensemble</v>
      </c>
    </row>
    <row r="11" spans="1:18" x14ac:dyDescent="0.45">
      <c r="A11" t="s">
        <v>10</v>
      </c>
      <c r="B11">
        <v>0.89723175764083796</v>
      </c>
      <c r="C11">
        <v>0.90684258937835605</v>
      </c>
      <c r="D11">
        <v>0.89573037600000005</v>
      </c>
      <c r="E11" t="str">
        <f t="shared" si="0"/>
        <v>T2+T1ce</v>
      </c>
      <c r="F11" t="str">
        <f t="shared" si="1"/>
        <v>T1ce+FLAIR</v>
      </c>
      <c r="G11" t="str">
        <f t="shared" si="2"/>
        <v>T2+T1ce</v>
      </c>
    </row>
    <row r="12" spans="1:18" x14ac:dyDescent="0.45">
      <c r="A12" t="s">
        <v>11</v>
      </c>
      <c r="B12">
        <v>0.91193282604217496</v>
      </c>
      <c r="C12">
        <v>0.90928918123245195</v>
      </c>
      <c r="D12">
        <v>0.91427779200000003</v>
      </c>
      <c r="E12" t="str">
        <f t="shared" si="0"/>
        <v>T1ce+FLAIR</v>
      </c>
      <c r="F12" t="str">
        <f t="shared" si="1"/>
        <v>Ensemble</v>
      </c>
      <c r="G12" t="str">
        <f t="shared" si="2"/>
        <v>Ensemble</v>
      </c>
    </row>
    <row r="13" spans="1:18" x14ac:dyDescent="0.45">
      <c r="A13" t="s">
        <v>12</v>
      </c>
      <c r="B13">
        <v>0.96485346555709794</v>
      </c>
      <c r="C13">
        <v>0.96926850080490101</v>
      </c>
      <c r="D13">
        <v>0.97213780900000002</v>
      </c>
      <c r="E13" t="str">
        <f t="shared" si="0"/>
        <v>T2+T1ce</v>
      </c>
      <c r="F13" t="str">
        <f t="shared" si="1"/>
        <v>Ensemble</v>
      </c>
      <c r="G13" t="str">
        <f t="shared" si="2"/>
        <v>Ensemble</v>
      </c>
    </row>
    <row r="14" spans="1:18" x14ac:dyDescent="0.45">
      <c r="A14" t="s">
        <v>13</v>
      </c>
      <c r="B14">
        <v>0.87360692024230902</v>
      </c>
      <c r="C14">
        <v>0.84093040227890004</v>
      </c>
      <c r="D14">
        <v>0.87250584399999997</v>
      </c>
      <c r="E14" t="str">
        <f t="shared" si="0"/>
        <v>T1ce+FLAIR</v>
      </c>
      <c r="F14" t="str">
        <f t="shared" si="1"/>
        <v>T1ce+FLAIR</v>
      </c>
      <c r="G14" t="str">
        <f t="shared" si="2"/>
        <v>Ensemble</v>
      </c>
    </row>
    <row r="15" spans="1:18" x14ac:dyDescent="0.45">
      <c r="A15" t="s">
        <v>14</v>
      </c>
      <c r="B15">
        <v>0.90791720151901201</v>
      </c>
      <c r="C15">
        <v>0.92378717660903897</v>
      </c>
      <c r="D15">
        <v>0.924683213</v>
      </c>
      <c r="E15" t="str">
        <f t="shared" si="0"/>
        <v>T2+T1ce</v>
      </c>
      <c r="F15" t="str">
        <f t="shared" si="1"/>
        <v>Ensemble</v>
      </c>
      <c r="G15" t="str">
        <f t="shared" si="2"/>
        <v>Ensemble</v>
      </c>
    </row>
    <row r="16" spans="1:18" x14ac:dyDescent="0.45">
      <c r="A16" t="s">
        <v>15</v>
      </c>
      <c r="B16">
        <v>0.93234497308731001</v>
      </c>
      <c r="C16">
        <v>0.92661476135253895</v>
      </c>
      <c r="D16">
        <v>0.93408346200000003</v>
      </c>
      <c r="E16" t="str">
        <f t="shared" si="0"/>
        <v>T1ce+FLAIR</v>
      </c>
      <c r="F16" t="str">
        <f t="shared" si="1"/>
        <v>Ensemble</v>
      </c>
      <c r="G16" t="str">
        <f t="shared" si="2"/>
        <v>Ensemble</v>
      </c>
    </row>
    <row r="17" spans="1:7" x14ac:dyDescent="0.45">
      <c r="A17" t="s">
        <v>16</v>
      </c>
      <c r="B17">
        <v>0.94898885488510099</v>
      </c>
      <c r="C17">
        <v>0.93509989976882901</v>
      </c>
      <c r="D17">
        <v>0.94578737000000002</v>
      </c>
      <c r="E17" t="str">
        <f t="shared" si="0"/>
        <v>T1ce+FLAIR</v>
      </c>
      <c r="F17" t="str">
        <f t="shared" si="1"/>
        <v>T1ce+FLAIR</v>
      </c>
      <c r="G17" t="str">
        <f t="shared" si="2"/>
        <v>Ensemble</v>
      </c>
    </row>
    <row r="18" spans="1:7" x14ac:dyDescent="0.45">
      <c r="A18" t="s">
        <v>17</v>
      </c>
      <c r="B18">
        <v>0.96697866916656405</v>
      </c>
      <c r="C18">
        <v>0.96981668472289995</v>
      </c>
      <c r="D18">
        <v>0.97027468699999997</v>
      </c>
      <c r="E18" t="str">
        <f t="shared" si="0"/>
        <v>T2+T1ce</v>
      </c>
      <c r="F18" t="str">
        <f t="shared" si="1"/>
        <v>Ensemble</v>
      </c>
      <c r="G18" t="str">
        <f t="shared" si="2"/>
        <v>Ensemble</v>
      </c>
    </row>
    <row r="19" spans="1:7" x14ac:dyDescent="0.45">
      <c r="A19" t="s">
        <v>18</v>
      </c>
      <c r="B19">
        <v>0.96360486745834295</v>
      </c>
      <c r="C19">
        <v>0.96467572450637795</v>
      </c>
      <c r="D19">
        <v>0.96975076199999999</v>
      </c>
      <c r="E19" t="str">
        <f t="shared" si="0"/>
        <v>T2+T1ce</v>
      </c>
      <c r="F19" t="str">
        <f t="shared" si="1"/>
        <v>Ensemble</v>
      </c>
      <c r="G19" t="str">
        <f t="shared" si="2"/>
        <v>Ensemble</v>
      </c>
    </row>
    <row r="20" spans="1:7" x14ac:dyDescent="0.45">
      <c r="A20" t="s">
        <v>19</v>
      </c>
      <c r="B20">
        <v>0.82969367504119795</v>
      </c>
      <c r="C20">
        <v>0.86146456003188998</v>
      </c>
      <c r="D20">
        <v>0.84723293799999999</v>
      </c>
      <c r="E20" t="str">
        <f t="shared" si="0"/>
        <v>T2+T1ce</v>
      </c>
      <c r="F20" t="str">
        <f t="shared" si="1"/>
        <v>Ensemble</v>
      </c>
      <c r="G20" t="str">
        <f t="shared" si="2"/>
        <v>T2+T1ce</v>
      </c>
    </row>
    <row r="21" spans="1:7" x14ac:dyDescent="0.45">
      <c r="A21" t="s">
        <v>20</v>
      </c>
      <c r="B21">
        <v>0.97489088773727395</v>
      </c>
      <c r="C21">
        <v>0.97349244356155396</v>
      </c>
      <c r="D21">
        <v>0.97689664399999998</v>
      </c>
      <c r="E21" t="str">
        <f t="shared" si="0"/>
        <v>T1ce+FLAIR</v>
      </c>
      <c r="F21" t="str">
        <f t="shared" si="1"/>
        <v>Ensemble</v>
      </c>
      <c r="G21" t="str">
        <f t="shared" si="2"/>
        <v>Ensemble</v>
      </c>
    </row>
    <row r="22" spans="1:7" x14ac:dyDescent="0.45">
      <c r="A22" t="s">
        <v>21</v>
      </c>
      <c r="B22">
        <v>0.65458154678344704</v>
      </c>
      <c r="C22">
        <v>0.52178603410720803</v>
      </c>
      <c r="D22">
        <v>0.71514880700000005</v>
      </c>
      <c r="E22" t="str">
        <f t="shared" si="0"/>
        <v>T1ce+FLAIR</v>
      </c>
      <c r="F22" t="str">
        <f t="shared" si="1"/>
        <v>Ensemble</v>
      </c>
      <c r="G22" t="str">
        <f t="shared" si="2"/>
        <v>Ensemble</v>
      </c>
    </row>
    <row r="23" spans="1:7" x14ac:dyDescent="0.45">
      <c r="A23" t="s">
        <v>22</v>
      </c>
      <c r="B23">
        <v>0.79868346452713002</v>
      </c>
      <c r="C23">
        <v>0.53980892896652199</v>
      </c>
      <c r="D23">
        <v>0.81873476499999998</v>
      </c>
      <c r="E23" t="str">
        <f t="shared" si="0"/>
        <v>T1ce+FLAIR</v>
      </c>
      <c r="F23" t="str">
        <f t="shared" si="1"/>
        <v>Ensemble</v>
      </c>
      <c r="G23" t="str">
        <f t="shared" si="2"/>
        <v>Ensemble</v>
      </c>
    </row>
    <row r="24" spans="1:7" x14ac:dyDescent="0.45">
      <c r="A24" t="s">
        <v>23</v>
      </c>
      <c r="B24">
        <v>0.88223242759704501</v>
      </c>
      <c r="C24">
        <v>0.89738690853118896</v>
      </c>
      <c r="D24">
        <v>0.88760757400000001</v>
      </c>
      <c r="E24" t="str">
        <f t="shared" si="0"/>
        <v>T2+T1ce</v>
      </c>
      <c r="F24" t="str">
        <f t="shared" si="1"/>
        <v>Ensemble</v>
      </c>
      <c r="G24" t="str">
        <f t="shared" si="2"/>
        <v>T2+T1ce</v>
      </c>
    </row>
    <row r="25" spans="1:7" x14ac:dyDescent="0.45">
      <c r="A25" t="s">
        <v>24</v>
      </c>
      <c r="B25">
        <v>0.86466085910797097</v>
      </c>
      <c r="C25">
        <v>0.89216643571853604</v>
      </c>
      <c r="D25">
        <v>0.87317848200000003</v>
      </c>
      <c r="E25" t="str">
        <f t="shared" si="0"/>
        <v>T2+T1ce</v>
      </c>
      <c r="F25" t="str">
        <f t="shared" si="1"/>
        <v>Ensemble</v>
      </c>
      <c r="G25" t="str">
        <f t="shared" si="2"/>
        <v>T2+T1ce</v>
      </c>
    </row>
    <row r="26" spans="1:7" x14ac:dyDescent="0.45">
      <c r="A26" t="s">
        <v>25</v>
      </c>
      <c r="B26">
        <v>0.92716246843338002</v>
      </c>
      <c r="C26">
        <v>0.90888786315917902</v>
      </c>
      <c r="D26">
        <v>0.92846167099999999</v>
      </c>
      <c r="E26" t="str">
        <f t="shared" si="0"/>
        <v>T1ce+FLAIR</v>
      </c>
      <c r="F26" t="str">
        <f t="shared" si="1"/>
        <v>Ensemble</v>
      </c>
      <c r="G26" t="str">
        <f t="shared" si="2"/>
        <v>Ensemble</v>
      </c>
    </row>
    <row r="27" spans="1:7" x14ac:dyDescent="0.45">
      <c r="A27" t="s">
        <v>26</v>
      </c>
      <c r="B27">
        <v>0.91516995429992598</v>
      </c>
      <c r="C27">
        <v>0.91806089878082198</v>
      </c>
      <c r="D27">
        <v>0.91967648300000004</v>
      </c>
      <c r="E27" t="str">
        <f t="shared" si="0"/>
        <v>T2+T1ce</v>
      </c>
      <c r="F27" t="str">
        <f t="shared" si="1"/>
        <v>Ensemble</v>
      </c>
      <c r="G27" t="str">
        <f t="shared" si="2"/>
        <v>Ensemble</v>
      </c>
    </row>
    <row r="28" spans="1:7" x14ac:dyDescent="0.45">
      <c r="A28" t="s">
        <v>27</v>
      </c>
      <c r="B28">
        <v>0.72413790225982599</v>
      </c>
      <c r="C28">
        <v>0.32544377446174599</v>
      </c>
      <c r="D28">
        <v>0.73867923000000002</v>
      </c>
      <c r="E28" t="str">
        <f t="shared" si="0"/>
        <v>T1ce+FLAIR</v>
      </c>
      <c r="F28" t="str">
        <f t="shared" si="1"/>
        <v>Ensemble</v>
      </c>
      <c r="G28" t="str">
        <f t="shared" si="2"/>
        <v>Ensemble</v>
      </c>
    </row>
    <row r="29" spans="1:7" x14ac:dyDescent="0.45">
      <c r="A29" t="s">
        <v>28</v>
      </c>
      <c r="B29">
        <v>0.90657985210418701</v>
      </c>
      <c r="C29">
        <v>0.90582078695297197</v>
      </c>
      <c r="D29">
        <v>0.91064101500000005</v>
      </c>
      <c r="E29" t="str">
        <f t="shared" si="0"/>
        <v>T1ce+FLAIR</v>
      </c>
      <c r="F29" t="str">
        <f t="shared" si="1"/>
        <v>Ensemble</v>
      </c>
      <c r="G29" t="str">
        <f t="shared" si="2"/>
        <v>Ensemble</v>
      </c>
    </row>
    <row r="30" spans="1:7" x14ac:dyDescent="0.45">
      <c r="A30" t="s">
        <v>29</v>
      </c>
      <c r="B30">
        <v>0.95413339138030995</v>
      </c>
      <c r="C30">
        <v>0.95725351572036699</v>
      </c>
      <c r="D30">
        <v>0.95750170899999998</v>
      </c>
      <c r="E30" t="str">
        <f t="shared" si="0"/>
        <v>T2+T1ce</v>
      </c>
      <c r="F30" t="str">
        <f t="shared" si="1"/>
        <v>Ensemble</v>
      </c>
      <c r="G30" t="str">
        <f t="shared" si="2"/>
        <v>Ensemble</v>
      </c>
    </row>
    <row r="31" spans="1:7" x14ac:dyDescent="0.45">
      <c r="A31" t="s">
        <v>30</v>
      </c>
      <c r="B31">
        <v>0.90929418802261297</v>
      </c>
      <c r="C31">
        <v>0.89958626031875599</v>
      </c>
      <c r="D31">
        <v>0.90559458699999995</v>
      </c>
      <c r="E31" t="str">
        <f t="shared" si="0"/>
        <v>T1ce+FLAIR</v>
      </c>
      <c r="F31" t="str">
        <f t="shared" si="1"/>
        <v>T1ce+FLAIR</v>
      </c>
      <c r="G31" t="str">
        <f t="shared" si="2"/>
        <v>Ensemble</v>
      </c>
    </row>
    <row r="32" spans="1:7" x14ac:dyDescent="0.45">
      <c r="A32" t="s">
        <v>31</v>
      </c>
      <c r="B32">
        <v>0.88212102651596003</v>
      </c>
      <c r="C32">
        <v>0.86730217933654696</v>
      </c>
      <c r="D32">
        <v>0.87611955399999997</v>
      </c>
      <c r="E32" t="str">
        <f t="shared" si="0"/>
        <v>T1ce+FLAIR</v>
      </c>
      <c r="F32" t="str">
        <f t="shared" si="1"/>
        <v>T1ce+FLAIR</v>
      </c>
      <c r="G32" t="str">
        <f t="shared" si="2"/>
        <v>Ensemble</v>
      </c>
    </row>
    <row r="33" spans="1:7" x14ac:dyDescent="0.45">
      <c r="A33" t="s">
        <v>32</v>
      </c>
      <c r="B33">
        <v>0.94212412834167403</v>
      </c>
      <c r="C33">
        <v>0.95163059234619096</v>
      </c>
      <c r="D33">
        <v>0.95274722599999995</v>
      </c>
      <c r="E33" t="str">
        <f t="shared" si="0"/>
        <v>T2+T1ce</v>
      </c>
      <c r="F33" t="str">
        <f t="shared" si="1"/>
        <v>Ensemble</v>
      </c>
      <c r="G33" t="str">
        <f t="shared" si="2"/>
        <v>Ensemble</v>
      </c>
    </row>
    <row r="34" spans="1:7" x14ac:dyDescent="0.45">
      <c r="A34" t="s">
        <v>33</v>
      </c>
      <c r="B34">
        <v>0.92381882667541504</v>
      </c>
      <c r="C34">
        <v>0.91969072818756104</v>
      </c>
      <c r="D34">
        <v>0.92226719899999998</v>
      </c>
      <c r="E34" t="str">
        <f t="shared" ref="E34:E65" si="3">IF(B34&gt;C34,"T1ce+FLAIR","T2+T1ce")</f>
        <v>T1ce+FLAIR</v>
      </c>
      <c r="F34" t="str">
        <f t="shared" si="1"/>
        <v>T1ce+FLAIR</v>
      </c>
      <c r="G34" t="str">
        <f t="shared" si="2"/>
        <v>Ensemble</v>
      </c>
    </row>
    <row r="35" spans="1:7" x14ac:dyDescent="0.45">
      <c r="A35" t="s">
        <v>34</v>
      </c>
      <c r="B35">
        <v>0.96986687183380105</v>
      </c>
      <c r="C35">
        <v>0.96960550546646096</v>
      </c>
      <c r="D35">
        <v>0.97301232800000004</v>
      </c>
      <c r="E35" t="str">
        <f t="shared" si="3"/>
        <v>T1ce+FLAIR</v>
      </c>
      <c r="F35" t="str">
        <f t="shared" si="1"/>
        <v>Ensemble</v>
      </c>
      <c r="G35" t="str">
        <f t="shared" si="2"/>
        <v>Ensemble</v>
      </c>
    </row>
    <row r="36" spans="1:7" x14ac:dyDescent="0.45">
      <c r="A36" t="s">
        <v>35</v>
      </c>
      <c r="B36">
        <v>0.90333330631256104</v>
      </c>
      <c r="C36">
        <v>0.89691960811614901</v>
      </c>
      <c r="D36">
        <v>0.90940743700000004</v>
      </c>
      <c r="E36" t="str">
        <f t="shared" si="3"/>
        <v>T1ce+FLAIR</v>
      </c>
      <c r="F36" t="str">
        <f t="shared" si="1"/>
        <v>Ensemble</v>
      </c>
      <c r="G36" t="str">
        <f t="shared" si="2"/>
        <v>Ensemble</v>
      </c>
    </row>
    <row r="37" spans="1:7" x14ac:dyDescent="0.45">
      <c r="A37" t="s">
        <v>36</v>
      </c>
      <c r="B37">
        <v>0.48645117878913802</v>
      </c>
      <c r="C37">
        <v>0.56038391590118397</v>
      </c>
      <c r="D37">
        <v>0.45229923700000002</v>
      </c>
      <c r="E37" t="str">
        <f t="shared" si="3"/>
        <v>T2+T1ce</v>
      </c>
      <c r="F37" t="str">
        <f t="shared" si="1"/>
        <v>T1ce+FLAIR</v>
      </c>
      <c r="G37" t="str">
        <f t="shared" si="2"/>
        <v>T2+T1ce</v>
      </c>
    </row>
    <row r="38" spans="1:7" x14ac:dyDescent="0.45">
      <c r="A38" t="s">
        <v>37</v>
      </c>
      <c r="B38">
        <v>0.68416732549667303</v>
      </c>
      <c r="C38">
        <v>0.60919541120529097</v>
      </c>
      <c r="D38">
        <v>0.55786347400000003</v>
      </c>
      <c r="E38" t="str">
        <f t="shared" si="3"/>
        <v>T1ce+FLAIR</v>
      </c>
      <c r="F38" t="str">
        <f t="shared" si="1"/>
        <v>T1ce+FLAIR</v>
      </c>
      <c r="G38" t="str">
        <f t="shared" si="2"/>
        <v>T2+T1ce</v>
      </c>
    </row>
    <row r="39" spans="1:7" x14ac:dyDescent="0.45">
      <c r="A39" t="s">
        <v>38</v>
      </c>
      <c r="B39">
        <v>0.95517444610595703</v>
      </c>
      <c r="C39">
        <v>0.95106941461563099</v>
      </c>
      <c r="D39">
        <v>0.95536243899999995</v>
      </c>
      <c r="E39" t="str">
        <f t="shared" si="3"/>
        <v>T1ce+FLAIR</v>
      </c>
      <c r="F39" t="str">
        <f t="shared" si="1"/>
        <v>Ensemble</v>
      </c>
      <c r="G39" t="str">
        <f t="shared" si="2"/>
        <v>Ensemble</v>
      </c>
    </row>
    <row r="40" spans="1:7" x14ac:dyDescent="0.45">
      <c r="A40" t="s">
        <v>39</v>
      </c>
      <c r="B40">
        <v>0.82316827774047796</v>
      </c>
      <c r="C40">
        <v>0.76579004526138295</v>
      </c>
      <c r="D40">
        <v>0.77734953200000001</v>
      </c>
      <c r="E40" t="str">
        <f t="shared" si="3"/>
        <v>T1ce+FLAIR</v>
      </c>
      <c r="F40" t="str">
        <f t="shared" si="1"/>
        <v>T1ce+FLAIR</v>
      </c>
      <c r="G40" t="str">
        <f t="shared" si="2"/>
        <v>Ensemble</v>
      </c>
    </row>
    <row r="41" spans="1:7" x14ac:dyDescent="0.45">
      <c r="A41" t="s">
        <v>40</v>
      </c>
      <c r="B41">
        <v>0.87795394659042303</v>
      </c>
      <c r="C41">
        <v>0.85576170682907104</v>
      </c>
      <c r="D41">
        <v>0.88344353399999997</v>
      </c>
      <c r="E41" t="str">
        <f t="shared" si="3"/>
        <v>T1ce+FLAIR</v>
      </c>
      <c r="F41" t="str">
        <f t="shared" si="1"/>
        <v>Ensemble</v>
      </c>
      <c r="G41" t="str">
        <f t="shared" si="2"/>
        <v>Ensemble</v>
      </c>
    </row>
    <row r="42" spans="1:7" x14ac:dyDescent="0.45">
      <c r="A42" t="s">
        <v>41</v>
      </c>
      <c r="B42" s="1">
        <v>2.3769908263915299E-10</v>
      </c>
      <c r="C42" s="1">
        <v>3.9952058328296403E-10</v>
      </c>
      <c r="D42" s="1">
        <v>5.1899999999999997E-10</v>
      </c>
      <c r="E42" t="str">
        <f t="shared" si="3"/>
        <v>T2+T1ce</v>
      </c>
      <c r="F42" t="str">
        <f t="shared" si="1"/>
        <v>Ensemble</v>
      </c>
      <c r="G42" t="str">
        <f t="shared" si="2"/>
        <v>Ensemble</v>
      </c>
    </row>
    <row r="43" spans="1:7" x14ac:dyDescent="0.45">
      <c r="A43" t="s">
        <v>42</v>
      </c>
      <c r="B43">
        <v>0.91924315690994196</v>
      </c>
      <c r="C43">
        <v>0.87746769189834595</v>
      </c>
      <c r="D43">
        <v>0.91949212599999997</v>
      </c>
      <c r="E43" t="str">
        <f t="shared" si="3"/>
        <v>T1ce+FLAIR</v>
      </c>
      <c r="F43" t="str">
        <f t="shared" si="1"/>
        <v>Ensemble</v>
      </c>
      <c r="G43" t="str">
        <f t="shared" si="2"/>
        <v>Ensemble</v>
      </c>
    </row>
    <row r="44" spans="1:7" x14ac:dyDescent="0.45">
      <c r="A44" t="s">
        <v>43</v>
      </c>
      <c r="B44">
        <v>0.95523005723953203</v>
      </c>
      <c r="C44">
        <v>0.95373737812042203</v>
      </c>
      <c r="D44">
        <v>0.95640665300000005</v>
      </c>
      <c r="E44" t="str">
        <f t="shared" si="3"/>
        <v>T1ce+FLAIR</v>
      </c>
      <c r="F44" t="str">
        <f t="shared" si="1"/>
        <v>Ensemble</v>
      </c>
      <c r="G44" t="str">
        <f t="shared" si="2"/>
        <v>Ensemble</v>
      </c>
    </row>
    <row r="45" spans="1:7" x14ac:dyDescent="0.45">
      <c r="A45" t="s">
        <v>44</v>
      </c>
      <c r="B45">
        <v>0.54991120100021296</v>
      </c>
      <c r="C45">
        <v>0.68831330537795998</v>
      </c>
      <c r="D45">
        <v>0.59375</v>
      </c>
      <c r="E45" t="str">
        <f t="shared" si="3"/>
        <v>T2+T1ce</v>
      </c>
      <c r="F45" t="str">
        <f t="shared" si="1"/>
        <v>Ensemble</v>
      </c>
      <c r="G45" t="str">
        <f t="shared" si="2"/>
        <v>T2+T1ce</v>
      </c>
    </row>
    <row r="46" spans="1:7" x14ac:dyDescent="0.45">
      <c r="A46" t="s">
        <v>45</v>
      </c>
      <c r="B46">
        <v>0.95835375785827603</v>
      </c>
      <c r="C46">
        <v>0.94408327341079701</v>
      </c>
      <c r="D46">
        <v>0.94849950100000002</v>
      </c>
      <c r="E46" t="str">
        <f t="shared" si="3"/>
        <v>T1ce+FLAIR</v>
      </c>
      <c r="F46" t="str">
        <f t="shared" si="1"/>
        <v>T1ce+FLAIR</v>
      </c>
      <c r="G46" t="str">
        <f t="shared" si="2"/>
        <v>Ensemble</v>
      </c>
    </row>
    <row r="47" spans="1:7" x14ac:dyDescent="0.45">
      <c r="A47" t="s">
        <v>46</v>
      </c>
      <c r="B47">
        <v>0.97022658586501997</v>
      </c>
      <c r="C47">
        <v>0.969654381275177</v>
      </c>
      <c r="D47">
        <v>0.97020369799999995</v>
      </c>
      <c r="E47" t="str">
        <f t="shared" si="3"/>
        <v>T1ce+FLAIR</v>
      </c>
      <c r="F47" t="str">
        <f t="shared" si="1"/>
        <v>T1ce+FLAIR</v>
      </c>
      <c r="G47" t="str">
        <f t="shared" si="2"/>
        <v>Ensemble</v>
      </c>
    </row>
    <row r="48" spans="1:7" x14ac:dyDescent="0.45">
      <c r="A48" t="s">
        <v>47</v>
      </c>
      <c r="B48">
        <v>0.83945596218109098</v>
      </c>
      <c r="C48">
        <v>0.888538599014282</v>
      </c>
      <c r="D48">
        <v>0.87081462099999996</v>
      </c>
      <c r="E48" t="str">
        <f t="shared" si="3"/>
        <v>T2+T1ce</v>
      </c>
      <c r="F48" t="str">
        <f t="shared" si="1"/>
        <v>Ensemble</v>
      </c>
      <c r="G48" t="str">
        <f t="shared" si="2"/>
        <v>T2+T1ce</v>
      </c>
    </row>
    <row r="49" spans="1:7" x14ac:dyDescent="0.45">
      <c r="A49" t="s">
        <v>48</v>
      </c>
      <c r="B49">
        <v>0.90028721094131403</v>
      </c>
      <c r="C49">
        <v>0.93366992473602295</v>
      </c>
      <c r="D49">
        <v>0.92871326200000004</v>
      </c>
      <c r="E49" t="str">
        <f t="shared" si="3"/>
        <v>T2+T1ce</v>
      </c>
      <c r="F49" t="str">
        <f t="shared" si="1"/>
        <v>Ensemble</v>
      </c>
      <c r="G49" t="str">
        <f t="shared" si="2"/>
        <v>T2+T1ce</v>
      </c>
    </row>
    <row r="50" spans="1:7" x14ac:dyDescent="0.45">
      <c r="A50" t="s">
        <v>49</v>
      </c>
      <c r="B50">
        <v>0.973863124847412</v>
      </c>
      <c r="C50">
        <v>0.96955096721649103</v>
      </c>
      <c r="D50">
        <v>0.97614878400000005</v>
      </c>
      <c r="E50" t="str">
        <f t="shared" si="3"/>
        <v>T1ce+FLAIR</v>
      </c>
      <c r="F50" t="str">
        <f t="shared" si="1"/>
        <v>Ensemble</v>
      </c>
      <c r="G50" t="str">
        <f t="shared" si="2"/>
        <v>Ensemble</v>
      </c>
    </row>
    <row r="51" spans="1:7" x14ac:dyDescent="0.45">
      <c r="A51" t="s">
        <v>50</v>
      </c>
      <c r="B51">
        <v>0.96446561813354403</v>
      </c>
      <c r="C51">
        <v>0.95822322368621804</v>
      </c>
      <c r="D51">
        <v>0.96241796000000002</v>
      </c>
      <c r="E51" t="str">
        <f t="shared" si="3"/>
        <v>T1ce+FLAIR</v>
      </c>
      <c r="F51" t="str">
        <f t="shared" si="1"/>
        <v>T1ce+FLAIR</v>
      </c>
      <c r="G51" t="str">
        <f t="shared" si="2"/>
        <v>Ensemble</v>
      </c>
    </row>
    <row r="52" spans="1:7" x14ac:dyDescent="0.45">
      <c r="A52" t="s">
        <v>51</v>
      </c>
      <c r="B52">
        <v>0.953466176986694</v>
      </c>
      <c r="C52">
        <v>0.94547742605209295</v>
      </c>
      <c r="D52">
        <v>0.95052266100000005</v>
      </c>
      <c r="E52" t="str">
        <f t="shared" si="3"/>
        <v>T1ce+FLAIR</v>
      </c>
      <c r="F52" t="str">
        <f t="shared" si="1"/>
        <v>T1ce+FLAIR</v>
      </c>
      <c r="G52" t="str">
        <f t="shared" si="2"/>
        <v>Ensemble</v>
      </c>
    </row>
    <row r="53" spans="1:7" x14ac:dyDescent="0.45">
      <c r="A53" t="s">
        <v>52</v>
      </c>
      <c r="B53">
        <v>0.91789144277572599</v>
      </c>
      <c r="C53">
        <v>0.91970801353454501</v>
      </c>
      <c r="D53">
        <v>0.92825829999999998</v>
      </c>
      <c r="E53" t="str">
        <f t="shared" si="3"/>
        <v>T2+T1ce</v>
      </c>
      <c r="F53" t="str">
        <f t="shared" si="1"/>
        <v>Ensemble</v>
      </c>
      <c r="G53" t="str">
        <f t="shared" si="2"/>
        <v>Ensemble</v>
      </c>
    </row>
    <row r="54" spans="1:7" x14ac:dyDescent="0.45">
      <c r="A54" t="s">
        <v>53</v>
      </c>
      <c r="B54">
        <v>0.96477794647216797</v>
      </c>
      <c r="C54">
        <v>0.96668970584869296</v>
      </c>
      <c r="D54">
        <v>0.96577024499999997</v>
      </c>
      <c r="E54" t="str">
        <f t="shared" si="3"/>
        <v>T2+T1ce</v>
      </c>
      <c r="F54" t="str">
        <f t="shared" si="1"/>
        <v>Ensemble</v>
      </c>
      <c r="G54" t="str">
        <f t="shared" si="2"/>
        <v>T2+T1ce</v>
      </c>
    </row>
    <row r="55" spans="1:7" x14ac:dyDescent="0.45">
      <c r="A55" t="s">
        <v>54</v>
      </c>
      <c r="B55">
        <v>0.88049012422561601</v>
      </c>
      <c r="C55">
        <v>0.89120012521743697</v>
      </c>
      <c r="D55">
        <v>0.88914924900000003</v>
      </c>
      <c r="E55" t="str">
        <f t="shared" si="3"/>
        <v>T2+T1ce</v>
      </c>
      <c r="F55" t="str">
        <f t="shared" si="1"/>
        <v>Ensemble</v>
      </c>
      <c r="G55" t="str">
        <f t="shared" si="2"/>
        <v>T2+T1ce</v>
      </c>
    </row>
    <row r="56" spans="1:7" x14ac:dyDescent="0.45">
      <c r="A56" t="s">
        <v>55</v>
      </c>
      <c r="B56">
        <v>0.72885644435882502</v>
      </c>
      <c r="C56">
        <v>0.72993361949920599</v>
      </c>
      <c r="D56">
        <v>0.73354327699999999</v>
      </c>
      <c r="E56" t="str">
        <f t="shared" si="3"/>
        <v>T2+T1ce</v>
      </c>
      <c r="F56" t="str">
        <f t="shared" si="1"/>
        <v>Ensemble</v>
      </c>
      <c r="G56" t="str">
        <f t="shared" si="2"/>
        <v>Ensemble</v>
      </c>
    </row>
    <row r="57" spans="1:7" x14ac:dyDescent="0.45">
      <c r="A57" t="s">
        <v>56</v>
      </c>
      <c r="B57">
        <v>0.97872424125671298</v>
      </c>
      <c r="C57">
        <v>0.97651934623718195</v>
      </c>
      <c r="D57">
        <v>0.97823971499999995</v>
      </c>
      <c r="E57" t="str">
        <f t="shared" si="3"/>
        <v>T1ce+FLAIR</v>
      </c>
      <c r="F57" t="str">
        <f t="shared" si="1"/>
        <v>T1ce+FLAIR</v>
      </c>
      <c r="G57" t="str">
        <f t="shared" si="2"/>
        <v>Ensemble</v>
      </c>
    </row>
    <row r="58" spans="1:7" x14ac:dyDescent="0.45">
      <c r="A58" t="s">
        <v>57</v>
      </c>
      <c r="B58">
        <v>0.70422536134719804</v>
      </c>
      <c r="C58" s="1">
        <v>1.23456791456533E-8</v>
      </c>
      <c r="D58">
        <v>0.72307694</v>
      </c>
      <c r="E58" t="str">
        <f t="shared" si="3"/>
        <v>T1ce+FLAIR</v>
      </c>
      <c r="F58" t="str">
        <f t="shared" si="1"/>
        <v>Ensemble</v>
      </c>
      <c r="G58" t="str">
        <f t="shared" si="2"/>
        <v>Ensemble</v>
      </c>
    </row>
    <row r="59" spans="1:7" x14ac:dyDescent="0.45">
      <c r="A59" t="s">
        <v>58</v>
      </c>
      <c r="B59">
        <v>0.958812475204467</v>
      </c>
      <c r="C59">
        <v>0.95371145009994496</v>
      </c>
      <c r="D59">
        <v>0.96394312400000004</v>
      </c>
      <c r="E59" t="str">
        <f t="shared" si="3"/>
        <v>T1ce+FLAIR</v>
      </c>
      <c r="F59" t="str">
        <f t="shared" si="1"/>
        <v>Ensemble</v>
      </c>
      <c r="G59" t="str">
        <f t="shared" si="2"/>
        <v>Ensemble</v>
      </c>
    </row>
    <row r="60" spans="1:7" x14ac:dyDescent="0.45">
      <c r="A60" t="s">
        <v>59</v>
      </c>
      <c r="B60">
        <v>0.95829379558563199</v>
      </c>
      <c r="C60">
        <v>0.95779448747634799</v>
      </c>
      <c r="D60">
        <v>0.96297240299999998</v>
      </c>
      <c r="E60" t="str">
        <f t="shared" si="3"/>
        <v>T1ce+FLAIR</v>
      </c>
      <c r="F60" t="str">
        <f t="shared" si="1"/>
        <v>Ensemble</v>
      </c>
      <c r="G60" t="str">
        <f t="shared" si="2"/>
        <v>Ensemble</v>
      </c>
    </row>
    <row r="61" spans="1:7" x14ac:dyDescent="0.45">
      <c r="A61" t="s">
        <v>60</v>
      </c>
      <c r="B61">
        <v>0.93899571895599299</v>
      </c>
      <c r="C61">
        <v>0.92086738348007202</v>
      </c>
      <c r="D61">
        <v>0.94365316600000004</v>
      </c>
      <c r="E61" t="str">
        <f t="shared" si="3"/>
        <v>T1ce+FLAIR</v>
      </c>
      <c r="F61" t="str">
        <f t="shared" si="1"/>
        <v>Ensemble</v>
      </c>
      <c r="G61" t="str">
        <f t="shared" si="2"/>
        <v>Ensemble</v>
      </c>
    </row>
    <row r="62" spans="1:7" x14ac:dyDescent="0.45">
      <c r="A62" t="s">
        <v>61</v>
      </c>
      <c r="B62">
        <v>0.97533380985259999</v>
      </c>
      <c r="C62">
        <v>0.97178375720977705</v>
      </c>
      <c r="D62">
        <v>0.97642493200000002</v>
      </c>
      <c r="E62" t="str">
        <f t="shared" si="3"/>
        <v>T1ce+FLAIR</v>
      </c>
      <c r="F62" t="str">
        <f t="shared" si="1"/>
        <v>Ensemble</v>
      </c>
      <c r="G62" t="str">
        <f t="shared" si="2"/>
        <v>Ensemble</v>
      </c>
    </row>
    <row r="63" spans="1:7" x14ac:dyDescent="0.45">
      <c r="A63" t="s">
        <v>62</v>
      </c>
      <c r="B63">
        <v>0.93606609106063798</v>
      </c>
      <c r="C63">
        <v>0.917777299880981</v>
      </c>
      <c r="D63">
        <v>0.93445587200000002</v>
      </c>
      <c r="E63" t="str">
        <f t="shared" si="3"/>
        <v>T1ce+FLAIR</v>
      </c>
      <c r="F63" t="str">
        <f t="shared" si="1"/>
        <v>T1ce+FLAIR</v>
      </c>
      <c r="G63" t="str">
        <f t="shared" si="2"/>
        <v>Ensemble</v>
      </c>
    </row>
    <row r="64" spans="1:7" x14ac:dyDescent="0.45">
      <c r="A64" t="s">
        <v>63</v>
      </c>
      <c r="B64">
        <v>0.94075679779052701</v>
      </c>
      <c r="C64">
        <v>0.94457536935806197</v>
      </c>
      <c r="D64">
        <v>0.95009595199999997</v>
      </c>
      <c r="E64" t="str">
        <f t="shared" si="3"/>
        <v>T2+T1ce</v>
      </c>
      <c r="F64" t="str">
        <f t="shared" si="1"/>
        <v>Ensemble</v>
      </c>
      <c r="G64" t="str">
        <f t="shared" si="2"/>
        <v>Ensemble</v>
      </c>
    </row>
    <row r="65" spans="1:7" x14ac:dyDescent="0.45">
      <c r="A65" t="s">
        <v>64</v>
      </c>
      <c r="B65">
        <v>0.92975288629531805</v>
      </c>
      <c r="C65">
        <v>0.928866267204284</v>
      </c>
      <c r="D65">
        <v>0.93187582499999999</v>
      </c>
      <c r="E65" t="str">
        <f t="shared" si="3"/>
        <v>T1ce+FLAIR</v>
      </c>
      <c r="F65" t="str">
        <f t="shared" si="1"/>
        <v>Ensemble</v>
      </c>
      <c r="G65" t="str">
        <f t="shared" si="2"/>
        <v>Ensemble</v>
      </c>
    </row>
    <row r="66" spans="1:7" x14ac:dyDescent="0.45">
      <c r="A66" t="s">
        <v>65</v>
      </c>
      <c r="B66">
        <v>0.97488749027252197</v>
      </c>
      <c r="C66">
        <v>0.96886795759201005</v>
      </c>
      <c r="D66">
        <v>0.97527700699999997</v>
      </c>
      <c r="E66" t="str">
        <f t="shared" ref="E66:E97" si="4">IF(B66&gt;C66,"T1ce+FLAIR","T2+T1ce")</f>
        <v>T1ce+FLAIR</v>
      </c>
      <c r="F66" t="str">
        <f t="shared" si="1"/>
        <v>Ensemble</v>
      </c>
      <c r="G66" t="str">
        <f t="shared" si="2"/>
        <v>Ensemble</v>
      </c>
    </row>
    <row r="67" spans="1:7" x14ac:dyDescent="0.45">
      <c r="A67" t="s">
        <v>66</v>
      </c>
      <c r="B67">
        <v>0.95633327960967995</v>
      </c>
      <c r="C67">
        <v>0.95016503334045399</v>
      </c>
      <c r="D67">
        <v>0.96096241500000001</v>
      </c>
      <c r="E67" t="str">
        <f t="shared" si="4"/>
        <v>T1ce+FLAIR</v>
      </c>
      <c r="F67" t="str">
        <f t="shared" ref="F67:F130" si="5">IF(B67&gt;D67,"T1ce+FLAIR","Ensemble")</f>
        <v>Ensemble</v>
      </c>
      <c r="G67" t="str">
        <f t="shared" ref="G67:G130" si="6">IF(C67&gt;D67,"T2+T1ce","Ensemble")</f>
        <v>Ensemble</v>
      </c>
    </row>
    <row r="68" spans="1:7" x14ac:dyDescent="0.45">
      <c r="A68" t="s">
        <v>67</v>
      </c>
      <c r="B68">
        <v>0.93773484230041504</v>
      </c>
      <c r="C68">
        <v>0.92151862382888705</v>
      </c>
      <c r="D68">
        <v>0.92630326699999999</v>
      </c>
      <c r="E68" t="str">
        <f t="shared" si="4"/>
        <v>T1ce+FLAIR</v>
      </c>
      <c r="F68" t="str">
        <f t="shared" si="5"/>
        <v>T1ce+FLAIR</v>
      </c>
      <c r="G68" t="str">
        <f t="shared" si="6"/>
        <v>Ensemble</v>
      </c>
    </row>
    <row r="69" spans="1:7" x14ac:dyDescent="0.45">
      <c r="A69" t="s">
        <v>68</v>
      </c>
      <c r="B69">
        <v>0.95125627517700195</v>
      </c>
      <c r="C69">
        <v>0.93425112962722701</v>
      </c>
      <c r="D69">
        <v>0.94789332199999998</v>
      </c>
      <c r="E69" t="str">
        <f t="shared" si="4"/>
        <v>T1ce+FLAIR</v>
      </c>
      <c r="F69" t="str">
        <f t="shared" si="5"/>
        <v>T1ce+FLAIR</v>
      </c>
      <c r="G69" t="str">
        <f t="shared" si="6"/>
        <v>Ensemble</v>
      </c>
    </row>
    <row r="70" spans="1:7" x14ac:dyDescent="0.45">
      <c r="A70" t="s">
        <v>69</v>
      </c>
      <c r="B70">
        <v>0.92923647165298395</v>
      </c>
      <c r="C70">
        <v>0.93232792615890503</v>
      </c>
      <c r="D70">
        <v>0.93653899399999996</v>
      </c>
      <c r="E70" t="str">
        <f t="shared" si="4"/>
        <v>T2+T1ce</v>
      </c>
      <c r="F70" t="str">
        <f t="shared" si="5"/>
        <v>Ensemble</v>
      </c>
      <c r="G70" t="str">
        <f t="shared" si="6"/>
        <v>Ensemble</v>
      </c>
    </row>
    <row r="71" spans="1:7" x14ac:dyDescent="0.45">
      <c r="A71" t="s">
        <v>70</v>
      </c>
      <c r="B71">
        <v>0.94997912645339899</v>
      </c>
      <c r="C71">
        <v>0.93030214309692305</v>
      </c>
      <c r="D71">
        <v>0.95205503700000005</v>
      </c>
      <c r="E71" t="str">
        <f t="shared" si="4"/>
        <v>T1ce+FLAIR</v>
      </c>
      <c r="F71" t="str">
        <f t="shared" si="5"/>
        <v>Ensemble</v>
      </c>
      <c r="G71" t="str">
        <f t="shared" si="6"/>
        <v>Ensemble</v>
      </c>
    </row>
    <row r="72" spans="1:7" x14ac:dyDescent="0.45">
      <c r="A72" t="s">
        <v>71</v>
      </c>
      <c r="B72">
        <v>0.91983908414840698</v>
      </c>
      <c r="C72">
        <v>0.90289795398712103</v>
      </c>
      <c r="D72">
        <v>0.92119139400000005</v>
      </c>
      <c r="E72" t="str">
        <f t="shared" si="4"/>
        <v>T1ce+FLAIR</v>
      </c>
      <c r="F72" t="str">
        <f t="shared" si="5"/>
        <v>Ensemble</v>
      </c>
      <c r="G72" t="str">
        <f t="shared" si="6"/>
        <v>Ensemble</v>
      </c>
    </row>
    <row r="73" spans="1:7" x14ac:dyDescent="0.45">
      <c r="A73" t="s">
        <v>72</v>
      </c>
      <c r="B73">
        <v>0.84611743688583296</v>
      </c>
      <c r="C73">
        <v>0.85988050699233998</v>
      </c>
      <c r="D73">
        <v>0.87588906300000002</v>
      </c>
      <c r="E73" t="str">
        <f t="shared" si="4"/>
        <v>T2+T1ce</v>
      </c>
      <c r="F73" t="str">
        <f t="shared" si="5"/>
        <v>Ensemble</v>
      </c>
      <c r="G73" t="str">
        <f t="shared" si="6"/>
        <v>Ensemble</v>
      </c>
    </row>
    <row r="74" spans="1:7" x14ac:dyDescent="0.45">
      <c r="A74" t="s">
        <v>73</v>
      </c>
      <c r="B74">
        <v>0.946524798870086</v>
      </c>
      <c r="C74">
        <v>0.95510476827621404</v>
      </c>
      <c r="D74">
        <v>0.95599436800000004</v>
      </c>
      <c r="E74" t="str">
        <f t="shared" si="4"/>
        <v>T2+T1ce</v>
      </c>
      <c r="F74" t="str">
        <f t="shared" si="5"/>
        <v>Ensemble</v>
      </c>
      <c r="G74" t="str">
        <f t="shared" si="6"/>
        <v>Ensemble</v>
      </c>
    </row>
    <row r="75" spans="1:7" x14ac:dyDescent="0.45">
      <c r="A75" t="s">
        <v>74</v>
      </c>
      <c r="B75">
        <v>0.96493959426879805</v>
      </c>
      <c r="C75">
        <v>0.95733165740966797</v>
      </c>
      <c r="D75">
        <v>0.96171039300000005</v>
      </c>
      <c r="E75" t="str">
        <f t="shared" si="4"/>
        <v>T1ce+FLAIR</v>
      </c>
      <c r="F75" t="str">
        <f t="shared" si="5"/>
        <v>T1ce+FLAIR</v>
      </c>
      <c r="G75" t="str">
        <f t="shared" si="6"/>
        <v>Ensemble</v>
      </c>
    </row>
    <row r="76" spans="1:7" x14ac:dyDescent="0.45">
      <c r="A76" t="s">
        <v>75</v>
      </c>
      <c r="B76">
        <v>0.96503448486328103</v>
      </c>
      <c r="C76">
        <v>0.96627724170684803</v>
      </c>
      <c r="D76">
        <v>0.96889334900000001</v>
      </c>
      <c r="E76" t="str">
        <f t="shared" si="4"/>
        <v>T2+T1ce</v>
      </c>
      <c r="F76" t="str">
        <f t="shared" si="5"/>
        <v>Ensemble</v>
      </c>
      <c r="G76" t="str">
        <f t="shared" si="6"/>
        <v>Ensemble</v>
      </c>
    </row>
    <row r="77" spans="1:7" x14ac:dyDescent="0.45">
      <c r="A77" t="s">
        <v>76</v>
      </c>
      <c r="B77">
        <v>0.89908593893051103</v>
      </c>
      <c r="C77">
        <v>0.89744031429290705</v>
      </c>
      <c r="D77">
        <v>0.92968606899999995</v>
      </c>
      <c r="E77" t="str">
        <f t="shared" si="4"/>
        <v>T1ce+FLAIR</v>
      </c>
      <c r="F77" t="str">
        <f t="shared" si="5"/>
        <v>Ensemble</v>
      </c>
      <c r="G77" t="str">
        <f t="shared" si="6"/>
        <v>Ensemble</v>
      </c>
    </row>
    <row r="78" spans="1:7" x14ac:dyDescent="0.45">
      <c r="A78" t="s">
        <v>77</v>
      </c>
      <c r="B78">
        <v>0.91767126321792603</v>
      </c>
      <c r="C78">
        <v>0.91465640068054199</v>
      </c>
      <c r="D78">
        <v>0.92054247899999997</v>
      </c>
      <c r="E78" t="str">
        <f t="shared" si="4"/>
        <v>T1ce+FLAIR</v>
      </c>
      <c r="F78" t="str">
        <f t="shared" si="5"/>
        <v>Ensemble</v>
      </c>
      <c r="G78" t="str">
        <f t="shared" si="6"/>
        <v>Ensemble</v>
      </c>
    </row>
    <row r="79" spans="1:7" x14ac:dyDescent="0.45">
      <c r="A79" t="s">
        <v>78</v>
      </c>
      <c r="B79">
        <v>0.96088331937789895</v>
      </c>
      <c r="C79">
        <v>0.93633157014846802</v>
      </c>
      <c r="D79">
        <v>0.95617115500000005</v>
      </c>
      <c r="E79" t="str">
        <f t="shared" si="4"/>
        <v>T1ce+FLAIR</v>
      </c>
      <c r="F79" t="str">
        <f t="shared" si="5"/>
        <v>T1ce+FLAIR</v>
      </c>
      <c r="G79" t="str">
        <f t="shared" si="6"/>
        <v>Ensemble</v>
      </c>
    </row>
    <row r="80" spans="1:7" x14ac:dyDescent="0.45">
      <c r="A80" t="s">
        <v>79</v>
      </c>
      <c r="B80">
        <v>0.96579986810684204</v>
      </c>
      <c r="C80">
        <v>0.96339327096938998</v>
      </c>
      <c r="D80">
        <v>0.96721613399999995</v>
      </c>
      <c r="E80" t="str">
        <f t="shared" si="4"/>
        <v>T1ce+FLAIR</v>
      </c>
      <c r="F80" t="str">
        <f t="shared" si="5"/>
        <v>Ensemble</v>
      </c>
      <c r="G80" t="str">
        <f t="shared" si="6"/>
        <v>Ensemble</v>
      </c>
    </row>
    <row r="81" spans="1:7" x14ac:dyDescent="0.45">
      <c r="A81" t="s">
        <v>80</v>
      </c>
      <c r="B81">
        <v>0.97509729862213101</v>
      </c>
      <c r="C81">
        <v>0.96742302179336503</v>
      </c>
      <c r="D81">
        <v>0.97408783399999999</v>
      </c>
      <c r="E81" t="str">
        <f t="shared" si="4"/>
        <v>T1ce+FLAIR</v>
      </c>
      <c r="F81" t="str">
        <f t="shared" si="5"/>
        <v>T1ce+FLAIR</v>
      </c>
      <c r="G81" t="str">
        <f t="shared" si="6"/>
        <v>Ensemble</v>
      </c>
    </row>
    <row r="82" spans="1:7" x14ac:dyDescent="0.45">
      <c r="A82" t="s">
        <v>81</v>
      </c>
      <c r="B82">
        <v>0.96498441696166903</v>
      </c>
      <c r="C82">
        <v>0.95711064338684004</v>
      </c>
      <c r="D82">
        <v>0.96537244300000002</v>
      </c>
      <c r="E82" t="str">
        <f t="shared" si="4"/>
        <v>T1ce+FLAIR</v>
      </c>
      <c r="F82" t="str">
        <f t="shared" si="5"/>
        <v>Ensemble</v>
      </c>
      <c r="G82" t="str">
        <f t="shared" si="6"/>
        <v>Ensemble</v>
      </c>
    </row>
    <row r="83" spans="1:7" x14ac:dyDescent="0.45">
      <c r="A83" t="s">
        <v>82</v>
      </c>
      <c r="B83">
        <v>0.92775171995162897</v>
      </c>
      <c r="C83">
        <v>0.93382906913757302</v>
      </c>
      <c r="D83">
        <v>0.93217474199999995</v>
      </c>
      <c r="E83" t="str">
        <f t="shared" si="4"/>
        <v>T2+T1ce</v>
      </c>
      <c r="F83" t="str">
        <f t="shared" si="5"/>
        <v>Ensemble</v>
      </c>
      <c r="G83" t="str">
        <f t="shared" si="6"/>
        <v>T2+T1ce</v>
      </c>
    </row>
    <row r="84" spans="1:7" x14ac:dyDescent="0.45">
      <c r="A84" t="s">
        <v>83</v>
      </c>
      <c r="B84">
        <v>0.557167649269104</v>
      </c>
      <c r="C84">
        <v>0.63333308696746804</v>
      </c>
      <c r="D84">
        <v>0.52697968500000003</v>
      </c>
      <c r="E84" t="str">
        <f t="shared" si="4"/>
        <v>T2+T1ce</v>
      </c>
      <c r="F84" t="str">
        <f t="shared" si="5"/>
        <v>T1ce+FLAIR</v>
      </c>
      <c r="G84" t="str">
        <f t="shared" si="6"/>
        <v>T2+T1ce</v>
      </c>
    </row>
    <row r="85" spans="1:7" x14ac:dyDescent="0.45">
      <c r="A85" t="s">
        <v>84</v>
      </c>
      <c r="B85">
        <v>0.88839650154113703</v>
      </c>
      <c r="C85">
        <v>0.89245510101318304</v>
      </c>
      <c r="D85">
        <v>0.89998781699999997</v>
      </c>
      <c r="E85" t="str">
        <f t="shared" si="4"/>
        <v>T2+T1ce</v>
      </c>
      <c r="F85" t="str">
        <f t="shared" si="5"/>
        <v>Ensemble</v>
      </c>
      <c r="G85" t="str">
        <f t="shared" si="6"/>
        <v>Ensemble</v>
      </c>
    </row>
    <row r="86" spans="1:7" x14ac:dyDescent="0.45">
      <c r="A86" t="s">
        <v>85</v>
      </c>
      <c r="B86">
        <v>0.58134281635284402</v>
      </c>
      <c r="C86">
        <v>0.73073643445968595</v>
      </c>
      <c r="D86">
        <v>0.60822784900000004</v>
      </c>
      <c r="E86" t="str">
        <f t="shared" si="4"/>
        <v>T2+T1ce</v>
      </c>
      <c r="F86" t="str">
        <f t="shared" si="5"/>
        <v>Ensemble</v>
      </c>
      <c r="G86" t="str">
        <f t="shared" si="6"/>
        <v>T2+T1ce</v>
      </c>
    </row>
    <row r="87" spans="1:7" x14ac:dyDescent="0.45">
      <c r="A87" t="s">
        <v>86</v>
      </c>
      <c r="B87">
        <v>0.92476129531860296</v>
      </c>
      <c r="C87">
        <v>0.932087182998657</v>
      </c>
      <c r="D87">
        <v>0.93224501599999998</v>
      </c>
      <c r="E87" t="str">
        <f t="shared" si="4"/>
        <v>T2+T1ce</v>
      </c>
      <c r="F87" t="str">
        <f t="shared" si="5"/>
        <v>Ensemble</v>
      </c>
      <c r="G87" t="str">
        <f t="shared" si="6"/>
        <v>Ensemble</v>
      </c>
    </row>
    <row r="88" spans="1:7" x14ac:dyDescent="0.45">
      <c r="A88" t="s">
        <v>87</v>
      </c>
      <c r="B88">
        <v>0.94287252426147405</v>
      </c>
      <c r="C88">
        <v>0.94798851013183505</v>
      </c>
      <c r="D88">
        <v>0.95928877599999995</v>
      </c>
      <c r="E88" t="str">
        <f t="shared" si="4"/>
        <v>T2+T1ce</v>
      </c>
      <c r="F88" t="str">
        <f t="shared" si="5"/>
        <v>Ensemble</v>
      </c>
      <c r="G88" t="str">
        <f t="shared" si="6"/>
        <v>Ensemble</v>
      </c>
    </row>
    <row r="89" spans="1:7" x14ac:dyDescent="0.45">
      <c r="A89" t="s">
        <v>88</v>
      </c>
      <c r="B89">
        <v>0.93323332071304299</v>
      </c>
      <c r="C89">
        <v>0.95015835762023904</v>
      </c>
      <c r="D89">
        <v>0.94613522299999997</v>
      </c>
      <c r="E89" t="str">
        <f t="shared" si="4"/>
        <v>T2+T1ce</v>
      </c>
      <c r="F89" t="str">
        <f t="shared" si="5"/>
        <v>Ensemble</v>
      </c>
      <c r="G89" t="str">
        <f t="shared" si="6"/>
        <v>T2+T1ce</v>
      </c>
    </row>
    <row r="90" spans="1:7" x14ac:dyDescent="0.45">
      <c r="A90" t="s">
        <v>89</v>
      </c>
      <c r="B90">
        <v>0.97127205133438099</v>
      </c>
      <c r="C90">
        <v>0.96755862236022905</v>
      </c>
      <c r="D90">
        <v>0.97391647100000001</v>
      </c>
      <c r="E90" t="str">
        <f t="shared" si="4"/>
        <v>T1ce+FLAIR</v>
      </c>
      <c r="F90" t="str">
        <f t="shared" si="5"/>
        <v>Ensemble</v>
      </c>
      <c r="G90" t="str">
        <f t="shared" si="6"/>
        <v>Ensemble</v>
      </c>
    </row>
    <row r="91" spans="1:7" x14ac:dyDescent="0.45">
      <c r="A91" t="s">
        <v>90</v>
      </c>
      <c r="B91">
        <v>0.88921141624450595</v>
      </c>
      <c r="C91">
        <v>0.89304029941558805</v>
      </c>
      <c r="D91">
        <v>0.89100438400000004</v>
      </c>
      <c r="E91" t="str">
        <f t="shared" si="4"/>
        <v>T2+T1ce</v>
      </c>
      <c r="F91" t="str">
        <f t="shared" si="5"/>
        <v>Ensemble</v>
      </c>
      <c r="G91" t="str">
        <f t="shared" si="6"/>
        <v>T2+T1ce</v>
      </c>
    </row>
    <row r="92" spans="1:7" x14ac:dyDescent="0.45">
      <c r="A92" t="s">
        <v>91</v>
      </c>
      <c r="B92">
        <v>0.75328648090362504</v>
      </c>
      <c r="C92">
        <v>0.79300969839096003</v>
      </c>
      <c r="D92">
        <v>0.82531821699999997</v>
      </c>
      <c r="E92" t="str">
        <f t="shared" si="4"/>
        <v>T2+T1ce</v>
      </c>
      <c r="F92" t="str">
        <f t="shared" si="5"/>
        <v>Ensemble</v>
      </c>
      <c r="G92" t="str">
        <f t="shared" si="6"/>
        <v>Ensemble</v>
      </c>
    </row>
    <row r="93" spans="1:7" x14ac:dyDescent="0.45">
      <c r="A93" t="s">
        <v>92</v>
      </c>
      <c r="B93">
        <v>0.92463111877441395</v>
      </c>
      <c r="C93">
        <v>0.95389091968536299</v>
      </c>
      <c r="D93">
        <v>0.95642268699999999</v>
      </c>
      <c r="E93" t="str">
        <f t="shared" si="4"/>
        <v>T2+T1ce</v>
      </c>
      <c r="F93" t="str">
        <f t="shared" si="5"/>
        <v>Ensemble</v>
      </c>
      <c r="G93" t="str">
        <f t="shared" si="6"/>
        <v>Ensemble</v>
      </c>
    </row>
    <row r="94" spans="1:7" x14ac:dyDescent="0.45">
      <c r="A94" t="s">
        <v>93</v>
      </c>
      <c r="B94">
        <v>0.57340800762176503</v>
      </c>
      <c r="C94">
        <v>0.75612080097198398</v>
      </c>
      <c r="D94">
        <v>0.75963926299999995</v>
      </c>
      <c r="E94" t="str">
        <f t="shared" si="4"/>
        <v>T2+T1ce</v>
      </c>
      <c r="F94" t="str">
        <f t="shared" si="5"/>
        <v>Ensemble</v>
      </c>
      <c r="G94" t="str">
        <f t="shared" si="6"/>
        <v>Ensemble</v>
      </c>
    </row>
    <row r="95" spans="1:7" x14ac:dyDescent="0.45">
      <c r="A95" t="s">
        <v>94</v>
      </c>
      <c r="B95">
        <v>0.96586495637893599</v>
      </c>
      <c r="C95">
        <v>0.95903462171554499</v>
      </c>
      <c r="D95">
        <v>0.96603298199999998</v>
      </c>
      <c r="E95" t="str">
        <f t="shared" si="4"/>
        <v>T1ce+FLAIR</v>
      </c>
      <c r="F95" t="str">
        <f t="shared" si="5"/>
        <v>Ensemble</v>
      </c>
      <c r="G95" t="str">
        <f t="shared" si="6"/>
        <v>Ensemble</v>
      </c>
    </row>
    <row r="96" spans="1:7" x14ac:dyDescent="0.45">
      <c r="A96" t="s">
        <v>95</v>
      </c>
      <c r="B96">
        <v>0.95962208509445102</v>
      </c>
      <c r="C96">
        <v>0.93259131908416704</v>
      </c>
      <c r="D96">
        <v>0.96046352400000001</v>
      </c>
      <c r="E96" t="str">
        <f t="shared" si="4"/>
        <v>T1ce+FLAIR</v>
      </c>
      <c r="F96" t="str">
        <f t="shared" si="5"/>
        <v>Ensemble</v>
      </c>
      <c r="G96" t="str">
        <f t="shared" si="6"/>
        <v>Ensemble</v>
      </c>
    </row>
    <row r="97" spans="1:7" x14ac:dyDescent="0.45">
      <c r="A97" t="s">
        <v>96</v>
      </c>
      <c r="B97">
        <v>0.84186244010925204</v>
      </c>
      <c r="C97">
        <v>0.84010291099548295</v>
      </c>
      <c r="D97">
        <v>0.84918099599999997</v>
      </c>
      <c r="E97" t="str">
        <f t="shared" si="4"/>
        <v>T1ce+FLAIR</v>
      </c>
      <c r="F97" t="str">
        <f t="shared" si="5"/>
        <v>Ensemble</v>
      </c>
      <c r="G97" t="str">
        <f t="shared" si="6"/>
        <v>Ensemble</v>
      </c>
    </row>
    <row r="98" spans="1:7" x14ac:dyDescent="0.45">
      <c r="A98" t="s">
        <v>97</v>
      </c>
      <c r="B98">
        <v>0.89511328935623102</v>
      </c>
      <c r="C98">
        <v>0.89188891649246205</v>
      </c>
      <c r="D98">
        <v>0.90334075700000005</v>
      </c>
      <c r="E98" t="str">
        <f t="shared" ref="E98:E129" si="7">IF(B98&gt;C98,"T1ce+FLAIR","T2+T1ce")</f>
        <v>T1ce+FLAIR</v>
      </c>
      <c r="F98" t="str">
        <f t="shared" si="5"/>
        <v>Ensemble</v>
      </c>
      <c r="G98" t="str">
        <f t="shared" si="6"/>
        <v>Ensemble</v>
      </c>
    </row>
    <row r="99" spans="1:7" x14ac:dyDescent="0.45">
      <c r="A99" t="s">
        <v>98</v>
      </c>
      <c r="B99">
        <v>0.92359018325805597</v>
      </c>
      <c r="C99">
        <v>0.92532199621200495</v>
      </c>
      <c r="D99">
        <v>0.92986196300000001</v>
      </c>
      <c r="E99" t="str">
        <f t="shared" si="7"/>
        <v>T2+T1ce</v>
      </c>
      <c r="F99" t="str">
        <f t="shared" si="5"/>
        <v>Ensemble</v>
      </c>
      <c r="G99" t="str">
        <f t="shared" si="6"/>
        <v>Ensemble</v>
      </c>
    </row>
    <row r="100" spans="1:7" x14ac:dyDescent="0.45">
      <c r="A100" t="s">
        <v>99</v>
      </c>
      <c r="B100">
        <v>0.94263076782226496</v>
      </c>
      <c r="C100">
        <v>0.94686907529830899</v>
      </c>
      <c r="D100">
        <v>0.94689696999999995</v>
      </c>
      <c r="E100" t="str">
        <f t="shared" si="7"/>
        <v>T2+T1ce</v>
      </c>
      <c r="F100" t="str">
        <f t="shared" si="5"/>
        <v>Ensemble</v>
      </c>
      <c r="G100" t="str">
        <f t="shared" si="6"/>
        <v>Ensemble</v>
      </c>
    </row>
    <row r="101" spans="1:7" x14ac:dyDescent="0.45">
      <c r="A101" t="s">
        <v>100</v>
      </c>
      <c r="B101">
        <v>0.96625453233718805</v>
      </c>
      <c r="C101">
        <v>0.96175950765609697</v>
      </c>
      <c r="D101">
        <v>0.96718978899999997</v>
      </c>
      <c r="E101" t="str">
        <f t="shared" si="7"/>
        <v>T1ce+FLAIR</v>
      </c>
      <c r="F101" t="str">
        <f t="shared" si="5"/>
        <v>Ensemble</v>
      </c>
      <c r="G101" t="str">
        <f t="shared" si="6"/>
        <v>Ensemble</v>
      </c>
    </row>
    <row r="102" spans="1:7" x14ac:dyDescent="0.45">
      <c r="A102" t="s">
        <v>101</v>
      </c>
      <c r="B102">
        <v>0.95345956087112405</v>
      </c>
      <c r="C102">
        <v>0.95318108797073298</v>
      </c>
      <c r="D102">
        <v>0.95470988800000001</v>
      </c>
      <c r="E102" t="str">
        <f t="shared" si="7"/>
        <v>T1ce+FLAIR</v>
      </c>
      <c r="F102" t="str">
        <f t="shared" si="5"/>
        <v>Ensemble</v>
      </c>
      <c r="G102" t="str">
        <f t="shared" si="6"/>
        <v>Ensemble</v>
      </c>
    </row>
    <row r="103" spans="1:7" x14ac:dyDescent="0.45">
      <c r="A103" t="s">
        <v>102</v>
      </c>
      <c r="B103">
        <v>0.96519589424133301</v>
      </c>
      <c r="C103">
        <v>0.95683872699737504</v>
      </c>
      <c r="D103">
        <v>0.96690082600000005</v>
      </c>
      <c r="E103" t="str">
        <f t="shared" si="7"/>
        <v>T1ce+FLAIR</v>
      </c>
      <c r="F103" t="str">
        <f t="shared" si="5"/>
        <v>Ensemble</v>
      </c>
      <c r="G103" t="str">
        <f t="shared" si="6"/>
        <v>Ensemble</v>
      </c>
    </row>
    <row r="104" spans="1:7" x14ac:dyDescent="0.45">
      <c r="A104" t="s">
        <v>103</v>
      </c>
      <c r="B104">
        <v>0.96994394063949496</v>
      </c>
      <c r="C104">
        <v>0.97484982013702304</v>
      </c>
      <c r="D104">
        <v>0.97507238399999996</v>
      </c>
      <c r="E104" t="str">
        <f t="shared" si="7"/>
        <v>T2+T1ce</v>
      </c>
      <c r="F104" t="str">
        <f t="shared" si="5"/>
        <v>Ensemble</v>
      </c>
      <c r="G104" t="str">
        <f t="shared" si="6"/>
        <v>Ensemble</v>
      </c>
    </row>
    <row r="105" spans="1:7" x14ac:dyDescent="0.45">
      <c r="A105" t="s">
        <v>104</v>
      </c>
      <c r="B105">
        <v>0.66197180747985795</v>
      </c>
      <c r="C105" s="1">
        <v>9.1743119767784199E-9</v>
      </c>
      <c r="D105">
        <v>0.72432434599999995</v>
      </c>
      <c r="E105" t="str">
        <f t="shared" si="7"/>
        <v>T1ce+FLAIR</v>
      </c>
      <c r="F105" t="str">
        <f t="shared" si="5"/>
        <v>Ensemble</v>
      </c>
      <c r="G105" t="str">
        <f t="shared" si="6"/>
        <v>Ensemble</v>
      </c>
    </row>
    <row r="106" spans="1:7" x14ac:dyDescent="0.45">
      <c r="A106" t="s">
        <v>105</v>
      </c>
      <c r="B106">
        <v>0.96730077266693104</v>
      </c>
      <c r="C106">
        <v>0.96501314640045099</v>
      </c>
      <c r="D106">
        <v>0.96818661699999997</v>
      </c>
      <c r="E106" t="str">
        <f t="shared" si="7"/>
        <v>T1ce+FLAIR</v>
      </c>
      <c r="F106" t="str">
        <f t="shared" si="5"/>
        <v>Ensemble</v>
      </c>
      <c r="G106" t="str">
        <f t="shared" si="6"/>
        <v>Ensemble</v>
      </c>
    </row>
    <row r="107" spans="1:7" x14ac:dyDescent="0.45">
      <c r="A107" t="s">
        <v>106</v>
      </c>
      <c r="B107">
        <v>0.88133138418197599</v>
      </c>
      <c r="C107" s="1">
        <v>1.4992503905020201E-9</v>
      </c>
      <c r="D107">
        <v>0.84641069199999996</v>
      </c>
      <c r="E107" t="str">
        <f t="shared" si="7"/>
        <v>T1ce+FLAIR</v>
      </c>
      <c r="F107" t="str">
        <f t="shared" si="5"/>
        <v>T1ce+FLAIR</v>
      </c>
      <c r="G107" t="str">
        <f t="shared" si="6"/>
        <v>Ensemble</v>
      </c>
    </row>
    <row r="108" spans="1:7" x14ac:dyDescent="0.45">
      <c r="A108" t="s">
        <v>107</v>
      </c>
      <c r="B108">
        <v>0.80394798517227095</v>
      </c>
      <c r="C108">
        <v>0.70770364999771096</v>
      </c>
      <c r="D108">
        <v>0.79874777799999996</v>
      </c>
      <c r="E108" t="str">
        <f t="shared" si="7"/>
        <v>T1ce+FLAIR</v>
      </c>
      <c r="F108" t="str">
        <f t="shared" si="5"/>
        <v>T1ce+FLAIR</v>
      </c>
      <c r="G108" t="str">
        <f t="shared" si="6"/>
        <v>Ensemble</v>
      </c>
    </row>
    <row r="109" spans="1:7" x14ac:dyDescent="0.45">
      <c r="A109" t="s">
        <v>108</v>
      </c>
      <c r="B109">
        <v>0.97206413745880105</v>
      </c>
      <c r="C109">
        <v>0.96207457780838002</v>
      </c>
      <c r="D109">
        <v>0.97152882799999996</v>
      </c>
      <c r="E109" t="str">
        <f t="shared" si="7"/>
        <v>T1ce+FLAIR</v>
      </c>
      <c r="F109" t="str">
        <f t="shared" si="5"/>
        <v>T1ce+FLAIR</v>
      </c>
      <c r="G109" t="str">
        <f t="shared" si="6"/>
        <v>Ensemble</v>
      </c>
    </row>
    <row r="110" spans="1:7" x14ac:dyDescent="0.45">
      <c r="A110" t="s">
        <v>109</v>
      </c>
      <c r="B110">
        <v>0.95559179782867398</v>
      </c>
      <c r="C110">
        <v>0.93190014362335205</v>
      </c>
      <c r="D110">
        <v>0.95300054599999995</v>
      </c>
      <c r="E110" t="str">
        <f t="shared" si="7"/>
        <v>T1ce+FLAIR</v>
      </c>
      <c r="F110" t="str">
        <f t="shared" si="5"/>
        <v>T1ce+FLAIR</v>
      </c>
      <c r="G110" t="str">
        <f t="shared" si="6"/>
        <v>Ensemble</v>
      </c>
    </row>
    <row r="111" spans="1:7" x14ac:dyDescent="0.45">
      <c r="A111" t="s">
        <v>110</v>
      </c>
      <c r="B111">
        <v>0.906685650348663</v>
      </c>
      <c r="C111">
        <v>0.91484624147415095</v>
      </c>
      <c r="D111">
        <v>0.92154812799999997</v>
      </c>
      <c r="E111" t="str">
        <f t="shared" si="7"/>
        <v>T2+T1ce</v>
      </c>
      <c r="F111" t="str">
        <f t="shared" si="5"/>
        <v>Ensemble</v>
      </c>
      <c r="G111" t="str">
        <f t="shared" si="6"/>
        <v>Ensemble</v>
      </c>
    </row>
    <row r="112" spans="1:7" x14ac:dyDescent="0.45">
      <c r="A112" t="s">
        <v>111</v>
      </c>
      <c r="B112">
        <v>0.15619693696498799</v>
      </c>
      <c r="C112">
        <v>0.113537117838859</v>
      </c>
      <c r="D112">
        <v>0.13664595800000001</v>
      </c>
      <c r="E112" t="str">
        <f t="shared" si="7"/>
        <v>T1ce+FLAIR</v>
      </c>
      <c r="F112" t="str">
        <f t="shared" si="5"/>
        <v>T1ce+FLAIR</v>
      </c>
      <c r="G112" t="str">
        <f t="shared" si="6"/>
        <v>Ensemble</v>
      </c>
    </row>
    <row r="113" spans="1:7" x14ac:dyDescent="0.45">
      <c r="A113" t="s">
        <v>112</v>
      </c>
      <c r="B113">
        <v>0.96696734428405695</v>
      </c>
      <c r="C113">
        <v>0.96725374460220304</v>
      </c>
      <c r="D113">
        <v>0.97209888700000002</v>
      </c>
      <c r="E113" t="str">
        <f t="shared" si="7"/>
        <v>T2+T1ce</v>
      </c>
      <c r="F113" t="str">
        <f t="shared" si="5"/>
        <v>Ensemble</v>
      </c>
      <c r="G113" t="str">
        <f t="shared" si="6"/>
        <v>Ensemble</v>
      </c>
    </row>
    <row r="114" spans="1:7" x14ac:dyDescent="0.45">
      <c r="A114" t="s">
        <v>113</v>
      </c>
      <c r="B114">
        <v>0.95661884546279896</v>
      </c>
      <c r="C114">
        <v>0.95956176519393899</v>
      </c>
      <c r="D114">
        <v>0.96041530399999997</v>
      </c>
      <c r="E114" t="str">
        <f t="shared" si="7"/>
        <v>T2+T1ce</v>
      </c>
      <c r="F114" t="str">
        <f t="shared" si="5"/>
        <v>Ensemble</v>
      </c>
      <c r="G114" t="str">
        <f t="shared" si="6"/>
        <v>Ensemble</v>
      </c>
    </row>
    <row r="115" spans="1:7" x14ac:dyDescent="0.45">
      <c r="A115" t="s">
        <v>114</v>
      </c>
      <c r="B115">
        <v>0.96597123146057096</v>
      </c>
      <c r="C115">
        <v>0.96529549360275202</v>
      </c>
      <c r="D115">
        <v>0.96973669500000004</v>
      </c>
      <c r="E115" t="str">
        <f t="shared" si="7"/>
        <v>T1ce+FLAIR</v>
      </c>
      <c r="F115" t="str">
        <f t="shared" si="5"/>
        <v>Ensemble</v>
      </c>
      <c r="G115" t="str">
        <f t="shared" si="6"/>
        <v>Ensemble</v>
      </c>
    </row>
    <row r="116" spans="1:7" x14ac:dyDescent="0.45">
      <c r="A116" t="s">
        <v>115</v>
      </c>
      <c r="B116">
        <v>0.95727503299713101</v>
      </c>
      <c r="C116">
        <v>0.95541793107986395</v>
      </c>
      <c r="D116">
        <v>0.95828169600000002</v>
      </c>
      <c r="E116" t="str">
        <f t="shared" si="7"/>
        <v>T1ce+FLAIR</v>
      </c>
      <c r="F116" t="str">
        <f t="shared" si="5"/>
        <v>Ensemble</v>
      </c>
      <c r="G116" t="str">
        <f t="shared" si="6"/>
        <v>Ensemble</v>
      </c>
    </row>
    <row r="117" spans="1:7" x14ac:dyDescent="0.45">
      <c r="A117" t="s">
        <v>116</v>
      </c>
      <c r="B117">
        <v>0.81765049695968595</v>
      </c>
      <c r="C117">
        <v>0.85924828052520696</v>
      </c>
      <c r="D117">
        <v>0.82207083700000005</v>
      </c>
      <c r="E117" t="str">
        <f t="shared" si="7"/>
        <v>T2+T1ce</v>
      </c>
      <c r="F117" t="str">
        <f t="shared" si="5"/>
        <v>Ensemble</v>
      </c>
      <c r="G117" t="str">
        <f t="shared" si="6"/>
        <v>T2+T1ce</v>
      </c>
    </row>
    <row r="118" spans="1:7" x14ac:dyDescent="0.45">
      <c r="A118" t="s">
        <v>117</v>
      </c>
      <c r="B118">
        <v>0.96341460943222001</v>
      </c>
      <c r="C118">
        <v>0.95967024564742998</v>
      </c>
      <c r="D118">
        <v>0.96583735900000001</v>
      </c>
      <c r="E118" t="str">
        <f t="shared" si="7"/>
        <v>T1ce+FLAIR</v>
      </c>
      <c r="F118" t="str">
        <f t="shared" si="5"/>
        <v>Ensemble</v>
      </c>
      <c r="G118" t="str">
        <f t="shared" si="6"/>
        <v>Ensemble</v>
      </c>
    </row>
    <row r="119" spans="1:7" x14ac:dyDescent="0.45">
      <c r="A119" t="s">
        <v>118</v>
      </c>
      <c r="B119">
        <v>0.88103771209716797</v>
      </c>
      <c r="C119">
        <v>0.89603352546691895</v>
      </c>
      <c r="D119">
        <v>0.89817416699999997</v>
      </c>
      <c r="E119" t="str">
        <f t="shared" si="7"/>
        <v>T2+T1ce</v>
      </c>
      <c r="F119" t="str">
        <f t="shared" si="5"/>
        <v>Ensemble</v>
      </c>
      <c r="G119" t="str">
        <f t="shared" si="6"/>
        <v>Ensemble</v>
      </c>
    </row>
    <row r="120" spans="1:7" x14ac:dyDescent="0.45">
      <c r="A120" t="s">
        <v>119</v>
      </c>
      <c r="B120">
        <v>0.96216571331024103</v>
      </c>
      <c r="C120">
        <v>0.95344442129135099</v>
      </c>
      <c r="D120">
        <v>0.957932055</v>
      </c>
      <c r="E120" t="str">
        <f t="shared" si="7"/>
        <v>T1ce+FLAIR</v>
      </c>
      <c r="F120" t="str">
        <f t="shared" si="5"/>
        <v>T1ce+FLAIR</v>
      </c>
      <c r="G120" t="str">
        <f t="shared" si="6"/>
        <v>Ensemble</v>
      </c>
    </row>
    <row r="121" spans="1:7" x14ac:dyDescent="0.45">
      <c r="A121" t="s">
        <v>120</v>
      </c>
      <c r="B121">
        <v>0.93832862377166704</v>
      </c>
      <c r="C121">
        <v>0.90572679042816095</v>
      </c>
      <c r="D121">
        <v>0.94445425299999997</v>
      </c>
      <c r="E121" t="str">
        <f t="shared" si="7"/>
        <v>T1ce+FLAIR</v>
      </c>
      <c r="F121" t="str">
        <f t="shared" si="5"/>
        <v>Ensemble</v>
      </c>
      <c r="G121" t="str">
        <f t="shared" si="6"/>
        <v>Ensemble</v>
      </c>
    </row>
    <row r="122" spans="1:7" x14ac:dyDescent="0.45">
      <c r="A122" t="s">
        <v>121</v>
      </c>
      <c r="B122">
        <v>0.96642684936523404</v>
      </c>
      <c r="C122">
        <v>0.95759642124176003</v>
      </c>
      <c r="D122">
        <v>0.96597671500000004</v>
      </c>
      <c r="E122" t="str">
        <f t="shared" si="7"/>
        <v>T1ce+FLAIR</v>
      </c>
      <c r="F122" t="str">
        <f t="shared" si="5"/>
        <v>T1ce+FLAIR</v>
      </c>
      <c r="G122" t="str">
        <f t="shared" si="6"/>
        <v>Ensemble</v>
      </c>
    </row>
    <row r="123" spans="1:7" x14ac:dyDescent="0.45">
      <c r="A123" t="s">
        <v>122</v>
      </c>
      <c r="B123">
        <v>0.95615369081497104</v>
      </c>
      <c r="C123">
        <v>0.96006464958190896</v>
      </c>
      <c r="D123">
        <v>0.96476930400000005</v>
      </c>
      <c r="E123" t="str">
        <f t="shared" si="7"/>
        <v>T2+T1ce</v>
      </c>
      <c r="F123" t="str">
        <f t="shared" si="5"/>
        <v>Ensemble</v>
      </c>
      <c r="G123" t="str">
        <f t="shared" si="6"/>
        <v>Ensemble</v>
      </c>
    </row>
    <row r="124" spans="1:7" x14ac:dyDescent="0.45">
      <c r="A124" t="s">
        <v>123</v>
      </c>
      <c r="B124">
        <v>0.95420455932617099</v>
      </c>
      <c r="C124">
        <v>0.94270223379135099</v>
      </c>
      <c r="D124">
        <v>0.95360148</v>
      </c>
      <c r="E124" t="str">
        <f t="shared" si="7"/>
        <v>T1ce+FLAIR</v>
      </c>
      <c r="F124" t="str">
        <f t="shared" si="5"/>
        <v>T1ce+FLAIR</v>
      </c>
      <c r="G124" t="str">
        <f t="shared" si="6"/>
        <v>Ensemble</v>
      </c>
    </row>
    <row r="125" spans="1:7" x14ac:dyDescent="0.45">
      <c r="A125" t="s">
        <v>124</v>
      </c>
      <c r="B125">
        <v>0.831487596035003</v>
      </c>
      <c r="C125">
        <v>0.86850470304489102</v>
      </c>
      <c r="D125">
        <v>0.83951330199999996</v>
      </c>
      <c r="E125" t="str">
        <f t="shared" si="7"/>
        <v>T2+T1ce</v>
      </c>
      <c r="F125" t="str">
        <f t="shared" si="5"/>
        <v>Ensemble</v>
      </c>
      <c r="G125" t="str">
        <f t="shared" si="6"/>
        <v>T2+T1ce</v>
      </c>
    </row>
    <row r="126" spans="1:7" x14ac:dyDescent="0.45">
      <c r="A126" t="s">
        <v>125</v>
      </c>
      <c r="B126">
        <v>0.83370715379714899</v>
      </c>
      <c r="C126">
        <v>0.90881401300430298</v>
      </c>
      <c r="D126">
        <v>0.84245932099999998</v>
      </c>
      <c r="E126" t="str">
        <f t="shared" si="7"/>
        <v>T2+T1ce</v>
      </c>
      <c r="F126" t="str">
        <f t="shared" si="5"/>
        <v>Ensemble</v>
      </c>
      <c r="G126" t="str">
        <f t="shared" si="6"/>
        <v>T2+T1ce</v>
      </c>
    </row>
    <row r="127" spans="1:7" x14ac:dyDescent="0.45">
      <c r="A127" t="s">
        <v>126</v>
      </c>
      <c r="B127">
        <v>0.95977687835693304</v>
      </c>
      <c r="C127">
        <v>0.94199019670486395</v>
      </c>
      <c r="D127">
        <v>0.96256148799999997</v>
      </c>
      <c r="E127" t="str">
        <f t="shared" si="7"/>
        <v>T1ce+FLAIR</v>
      </c>
      <c r="F127" t="str">
        <f t="shared" si="5"/>
        <v>Ensemble</v>
      </c>
      <c r="G127" t="str">
        <f t="shared" si="6"/>
        <v>Ensemble</v>
      </c>
    </row>
    <row r="128" spans="1:7" x14ac:dyDescent="0.45">
      <c r="A128" t="s">
        <v>127</v>
      </c>
      <c r="B128">
        <v>0.95483869314193703</v>
      </c>
      <c r="C128">
        <v>0.94916284084320002</v>
      </c>
      <c r="D128">
        <v>0.956091523</v>
      </c>
      <c r="E128" t="str">
        <f t="shared" si="7"/>
        <v>T1ce+FLAIR</v>
      </c>
      <c r="F128" t="str">
        <f t="shared" si="5"/>
        <v>Ensemble</v>
      </c>
      <c r="G128" t="str">
        <f t="shared" si="6"/>
        <v>Ensemble</v>
      </c>
    </row>
    <row r="129" spans="1:7" x14ac:dyDescent="0.45">
      <c r="A129" t="s">
        <v>128</v>
      </c>
      <c r="B129">
        <v>0.95962613821029596</v>
      </c>
      <c r="C129">
        <v>0.95930737257003695</v>
      </c>
      <c r="D129">
        <v>0.96408110899999999</v>
      </c>
      <c r="E129" t="str">
        <f t="shared" si="7"/>
        <v>T1ce+FLAIR</v>
      </c>
      <c r="F129" t="str">
        <f t="shared" si="5"/>
        <v>Ensemble</v>
      </c>
      <c r="G129" t="str">
        <f t="shared" si="6"/>
        <v>Ensemble</v>
      </c>
    </row>
    <row r="130" spans="1:7" x14ac:dyDescent="0.45">
      <c r="A130" t="s">
        <v>129</v>
      </c>
      <c r="B130">
        <v>0.97228538990020696</v>
      </c>
      <c r="C130">
        <v>0.96313107013702304</v>
      </c>
      <c r="D130">
        <v>0.97266584599999995</v>
      </c>
      <c r="E130" t="str">
        <f t="shared" ref="E130:E161" si="8">IF(B130&gt;C130,"T1ce+FLAIR","T2+T1ce")</f>
        <v>T1ce+FLAIR</v>
      </c>
      <c r="F130" t="str">
        <f t="shared" si="5"/>
        <v>Ensemble</v>
      </c>
      <c r="G130" t="str">
        <f t="shared" si="6"/>
        <v>Ensemble</v>
      </c>
    </row>
    <row r="131" spans="1:7" x14ac:dyDescent="0.45">
      <c r="A131" t="s">
        <v>130</v>
      </c>
      <c r="B131">
        <v>0.96578902006149203</v>
      </c>
      <c r="C131">
        <v>0.96665722131729104</v>
      </c>
      <c r="D131">
        <v>0.96786779199999995</v>
      </c>
      <c r="E131" t="str">
        <f t="shared" si="8"/>
        <v>T2+T1ce</v>
      </c>
      <c r="F131" t="str">
        <f t="shared" ref="F131:F189" si="9">IF(B131&gt;D131,"T1ce+FLAIR","Ensemble")</f>
        <v>Ensemble</v>
      </c>
      <c r="G131" t="str">
        <f t="shared" ref="G131:G189" si="10">IF(C131&gt;D131,"T2+T1ce","Ensemble")</f>
        <v>Ensemble</v>
      </c>
    </row>
    <row r="132" spans="1:7" x14ac:dyDescent="0.45">
      <c r="A132" t="s">
        <v>131</v>
      </c>
      <c r="B132">
        <v>0.95088666677474898</v>
      </c>
      <c r="C132">
        <v>0.95457959175109797</v>
      </c>
      <c r="D132">
        <v>0.95399791</v>
      </c>
      <c r="E132" t="str">
        <f t="shared" si="8"/>
        <v>T2+T1ce</v>
      </c>
      <c r="F132" t="str">
        <f t="shared" si="9"/>
        <v>Ensemble</v>
      </c>
      <c r="G132" t="str">
        <f t="shared" si="10"/>
        <v>T2+T1ce</v>
      </c>
    </row>
    <row r="133" spans="1:7" x14ac:dyDescent="0.45">
      <c r="A133" t="s">
        <v>132</v>
      </c>
      <c r="B133">
        <v>0.85570865869522095</v>
      </c>
      <c r="C133">
        <v>0.77529597282409601</v>
      </c>
      <c r="D133">
        <v>0.81091701999999999</v>
      </c>
      <c r="E133" t="str">
        <f t="shared" si="8"/>
        <v>T1ce+FLAIR</v>
      </c>
      <c r="F133" t="str">
        <f t="shared" si="9"/>
        <v>T1ce+FLAIR</v>
      </c>
      <c r="G133" t="str">
        <f t="shared" si="10"/>
        <v>Ensemble</v>
      </c>
    </row>
    <row r="134" spans="1:7" x14ac:dyDescent="0.45">
      <c r="A134" t="s">
        <v>133</v>
      </c>
      <c r="B134">
        <v>0.45945337414741499</v>
      </c>
      <c r="C134">
        <v>0.29608473181724498</v>
      </c>
      <c r="D134">
        <v>0.330137968</v>
      </c>
      <c r="E134" t="str">
        <f t="shared" si="8"/>
        <v>T1ce+FLAIR</v>
      </c>
      <c r="F134" t="str">
        <f t="shared" si="9"/>
        <v>T1ce+FLAIR</v>
      </c>
      <c r="G134" t="str">
        <f t="shared" si="10"/>
        <v>Ensemble</v>
      </c>
    </row>
    <row r="135" spans="1:7" x14ac:dyDescent="0.45">
      <c r="A135" t="s">
        <v>134</v>
      </c>
      <c r="B135">
        <v>0.95625084638595503</v>
      </c>
      <c r="C135">
        <v>0.94805228710174505</v>
      </c>
      <c r="D135">
        <v>0.95679092399999999</v>
      </c>
      <c r="E135" t="str">
        <f t="shared" si="8"/>
        <v>T1ce+FLAIR</v>
      </c>
      <c r="F135" t="str">
        <f t="shared" si="9"/>
        <v>Ensemble</v>
      </c>
      <c r="G135" t="str">
        <f t="shared" si="10"/>
        <v>Ensemble</v>
      </c>
    </row>
    <row r="136" spans="1:7" x14ac:dyDescent="0.45">
      <c r="A136" t="s">
        <v>135</v>
      </c>
      <c r="B136">
        <v>0.95708447694778398</v>
      </c>
      <c r="C136">
        <v>0.95979499816894498</v>
      </c>
      <c r="D136">
        <v>0.96057128899999999</v>
      </c>
      <c r="E136" t="str">
        <f t="shared" si="8"/>
        <v>T2+T1ce</v>
      </c>
      <c r="F136" t="str">
        <f t="shared" si="9"/>
        <v>Ensemble</v>
      </c>
      <c r="G136" t="str">
        <f t="shared" si="10"/>
        <v>Ensemble</v>
      </c>
    </row>
    <row r="137" spans="1:7" x14ac:dyDescent="0.45">
      <c r="A137" t="s">
        <v>136</v>
      </c>
      <c r="B137">
        <v>0.95508539676666204</v>
      </c>
      <c r="C137">
        <v>0.94603598117828303</v>
      </c>
      <c r="D137">
        <v>0.95553541200000003</v>
      </c>
      <c r="E137" t="str">
        <f t="shared" si="8"/>
        <v>T1ce+FLAIR</v>
      </c>
      <c r="F137" t="str">
        <f t="shared" si="9"/>
        <v>Ensemble</v>
      </c>
      <c r="G137" t="str">
        <f t="shared" si="10"/>
        <v>Ensemble</v>
      </c>
    </row>
    <row r="138" spans="1:7" x14ac:dyDescent="0.45">
      <c r="A138" t="s">
        <v>137</v>
      </c>
      <c r="B138">
        <v>0.94378232955932595</v>
      </c>
      <c r="C138">
        <v>0.944335997104644</v>
      </c>
      <c r="D138">
        <v>0.95400226099999996</v>
      </c>
      <c r="E138" t="str">
        <f t="shared" si="8"/>
        <v>T2+T1ce</v>
      </c>
      <c r="F138" t="str">
        <f t="shared" si="9"/>
        <v>Ensemble</v>
      </c>
      <c r="G138" t="str">
        <f t="shared" si="10"/>
        <v>Ensemble</v>
      </c>
    </row>
    <row r="139" spans="1:7" x14ac:dyDescent="0.45">
      <c r="A139" t="s">
        <v>138</v>
      </c>
      <c r="B139">
        <v>0.96700584888458196</v>
      </c>
      <c r="C139">
        <v>0.96669751405715898</v>
      </c>
      <c r="D139">
        <v>0.964696467</v>
      </c>
      <c r="E139" t="str">
        <f t="shared" si="8"/>
        <v>T1ce+FLAIR</v>
      </c>
      <c r="F139" t="str">
        <f t="shared" si="9"/>
        <v>T1ce+FLAIR</v>
      </c>
      <c r="G139" t="str">
        <f t="shared" si="10"/>
        <v>T2+T1ce</v>
      </c>
    </row>
    <row r="140" spans="1:7" x14ac:dyDescent="0.45">
      <c r="A140" t="s">
        <v>139</v>
      </c>
      <c r="B140">
        <v>0.94982200860977095</v>
      </c>
      <c r="C140">
        <v>0.91844922304153398</v>
      </c>
      <c r="D140">
        <v>0.95243418199999996</v>
      </c>
      <c r="E140" t="str">
        <f t="shared" si="8"/>
        <v>T1ce+FLAIR</v>
      </c>
      <c r="F140" t="str">
        <f t="shared" si="9"/>
        <v>Ensemble</v>
      </c>
      <c r="G140" t="str">
        <f t="shared" si="10"/>
        <v>Ensemble</v>
      </c>
    </row>
    <row r="141" spans="1:7" x14ac:dyDescent="0.45">
      <c r="A141" t="s">
        <v>140</v>
      </c>
      <c r="B141">
        <v>0.85451120138168302</v>
      </c>
      <c r="C141">
        <v>0.83644229173660201</v>
      </c>
      <c r="D141">
        <v>0.86063361199999999</v>
      </c>
      <c r="E141" t="str">
        <f t="shared" si="8"/>
        <v>T1ce+FLAIR</v>
      </c>
      <c r="F141" t="str">
        <f t="shared" si="9"/>
        <v>Ensemble</v>
      </c>
      <c r="G141" t="str">
        <f t="shared" si="10"/>
        <v>Ensemble</v>
      </c>
    </row>
    <row r="142" spans="1:7" x14ac:dyDescent="0.45">
      <c r="A142" t="s">
        <v>141</v>
      </c>
      <c r="B142">
        <v>0.94872170686721802</v>
      </c>
      <c r="C142">
        <v>0.94724017381668002</v>
      </c>
      <c r="D142">
        <v>0.95114606599999996</v>
      </c>
      <c r="E142" t="str">
        <f t="shared" si="8"/>
        <v>T1ce+FLAIR</v>
      </c>
      <c r="F142" t="str">
        <f t="shared" si="9"/>
        <v>Ensemble</v>
      </c>
      <c r="G142" t="str">
        <f t="shared" si="10"/>
        <v>Ensemble</v>
      </c>
    </row>
    <row r="143" spans="1:7" x14ac:dyDescent="0.45">
      <c r="A143" t="s">
        <v>142</v>
      </c>
      <c r="B143">
        <v>0.96836358308792103</v>
      </c>
      <c r="C143">
        <v>0.96350222826003995</v>
      </c>
      <c r="D143">
        <v>0.96954757000000003</v>
      </c>
      <c r="E143" t="str">
        <f t="shared" si="8"/>
        <v>T1ce+FLAIR</v>
      </c>
      <c r="F143" t="str">
        <f t="shared" si="9"/>
        <v>Ensemble</v>
      </c>
      <c r="G143" t="str">
        <f t="shared" si="10"/>
        <v>Ensemble</v>
      </c>
    </row>
    <row r="144" spans="1:7" x14ac:dyDescent="0.45">
      <c r="A144" t="s">
        <v>143</v>
      </c>
      <c r="B144">
        <v>0.91653895378112704</v>
      </c>
      <c r="C144">
        <v>0.95671600103378296</v>
      </c>
      <c r="D144">
        <v>0.94464778900000002</v>
      </c>
      <c r="E144" t="str">
        <f t="shared" si="8"/>
        <v>T2+T1ce</v>
      </c>
      <c r="F144" t="str">
        <f t="shared" si="9"/>
        <v>Ensemble</v>
      </c>
      <c r="G144" t="str">
        <f t="shared" si="10"/>
        <v>T2+T1ce</v>
      </c>
    </row>
    <row r="145" spans="1:7" x14ac:dyDescent="0.45">
      <c r="A145" t="s">
        <v>144</v>
      </c>
      <c r="B145">
        <v>0.93103647232055597</v>
      </c>
      <c r="C145">
        <v>0.91106194257736195</v>
      </c>
      <c r="D145">
        <v>0.93416577599999995</v>
      </c>
      <c r="E145" t="str">
        <f t="shared" si="8"/>
        <v>T1ce+FLAIR</v>
      </c>
      <c r="F145" t="str">
        <f t="shared" si="9"/>
        <v>Ensemble</v>
      </c>
      <c r="G145" t="str">
        <f t="shared" si="10"/>
        <v>Ensemble</v>
      </c>
    </row>
    <row r="146" spans="1:7" x14ac:dyDescent="0.45">
      <c r="A146" t="s">
        <v>145</v>
      </c>
      <c r="B146">
        <v>0.96601468324661199</v>
      </c>
      <c r="C146">
        <v>0.95777153968811002</v>
      </c>
      <c r="D146">
        <v>0.96559459000000003</v>
      </c>
      <c r="E146" t="str">
        <f t="shared" si="8"/>
        <v>T1ce+FLAIR</v>
      </c>
      <c r="F146" t="str">
        <f t="shared" si="9"/>
        <v>T1ce+FLAIR</v>
      </c>
      <c r="G146" t="str">
        <f t="shared" si="10"/>
        <v>Ensemble</v>
      </c>
    </row>
    <row r="147" spans="1:7" x14ac:dyDescent="0.45">
      <c r="A147" t="s">
        <v>146</v>
      </c>
      <c r="B147">
        <v>0.96401268243789595</v>
      </c>
      <c r="C147">
        <v>0.96314507722854603</v>
      </c>
      <c r="D147">
        <v>0.96765232099999998</v>
      </c>
      <c r="E147" t="str">
        <f t="shared" si="8"/>
        <v>T1ce+FLAIR</v>
      </c>
      <c r="F147" t="str">
        <f t="shared" si="9"/>
        <v>Ensemble</v>
      </c>
      <c r="G147" t="str">
        <f t="shared" si="10"/>
        <v>Ensemble</v>
      </c>
    </row>
    <row r="148" spans="1:7" x14ac:dyDescent="0.45">
      <c r="A148" t="s">
        <v>147</v>
      </c>
      <c r="B148">
        <v>0.93813234567642201</v>
      </c>
      <c r="C148">
        <v>0.93111056089401201</v>
      </c>
      <c r="D148">
        <v>0.93588674100000002</v>
      </c>
      <c r="E148" t="str">
        <f t="shared" si="8"/>
        <v>T1ce+FLAIR</v>
      </c>
      <c r="F148" t="str">
        <f t="shared" si="9"/>
        <v>T1ce+FLAIR</v>
      </c>
      <c r="G148" t="str">
        <f t="shared" si="10"/>
        <v>Ensemble</v>
      </c>
    </row>
    <row r="149" spans="1:7" x14ac:dyDescent="0.45">
      <c r="A149" t="s">
        <v>148</v>
      </c>
      <c r="B149">
        <v>0.97094941139221103</v>
      </c>
      <c r="C149">
        <v>0.97008413076400701</v>
      </c>
      <c r="D149">
        <v>0.97149813200000001</v>
      </c>
      <c r="E149" t="str">
        <f t="shared" si="8"/>
        <v>T1ce+FLAIR</v>
      </c>
      <c r="F149" t="str">
        <f t="shared" si="9"/>
        <v>Ensemble</v>
      </c>
      <c r="G149" t="str">
        <f t="shared" si="10"/>
        <v>Ensemble</v>
      </c>
    </row>
    <row r="150" spans="1:7" x14ac:dyDescent="0.45">
      <c r="A150" t="s">
        <v>149</v>
      </c>
      <c r="B150">
        <v>0.89195197820663397</v>
      </c>
      <c r="C150">
        <v>0.85975611209869296</v>
      </c>
      <c r="D150">
        <v>0.89692586699999999</v>
      </c>
      <c r="E150" t="str">
        <f t="shared" si="8"/>
        <v>T1ce+FLAIR</v>
      </c>
      <c r="F150" t="str">
        <f t="shared" si="9"/>
        <v>Ensemble</v>
      </c>
      <c r="G150" t="str">
        <f t="shared" si="10"/>
        <v>Ensemble</v>
      </c>
    </row>
    <row r="151" spans="1:7" x14ac:dyDescent="0.45">
      <c r="A151" t="s">
        <v>150</v>
      </c>
      <c r="B151">
        <v>0.96350467205047596</v>
      </c>
      <c r="C151">
        <v>0.94309645891189497</v>
      </c>
      <c r="D151">
        <v>0.96146547800000004</v>
      </c>
      <c r="E151" t="str">
        <f t="shared" si="8"/>
        <v>T1ce+FLAIR</v>
      </c>
      <c r="F151" t="str">
        <f t="shared" si="9"/>
        <v>T1ce+FLAIR</v>
      </c>
      <c r="G151" t="str">
        <f t="shared" si="10"/>
        <v>Ensemble</v>
      </c>
    </row>
    <row r="152" spans="1:7" x14ac:dyDescent="0.45">
      <c r="A152" t="s">
        <v>151</v>
      </c>
      <c r="B152">
        <v>0.96075838804244995</v>
      </c>
      <c r="C152">
        <v>0.94225972890853804</v>
      </c>
      <c r="D152">
        <v>0.95418572400000001</v>
      </c>
      <c r="E152" t="str">
        <f t="shared" si="8"/>
        <v>T1ce+FLAIR</v>
      </c>
      <c r="F152" t="str">
        <f t="shared" si="9"/>
        <v>T1ce+FLAIR</v>
      </c>
      <c r="G152" t="str">
        <f t="shared" si="10"/>
        <v>Ensemble</v>
      </c>
    </row>
    <row r="153" spans="1:7" x14ac:dyDescent="0.45">
      <c r="A153" t="s">
        <v>152</v>
      </c>
      <c r="B153">
        <v>0.945992171764373</v>
      </c>
      <c r="C153">
        <v>0.94596683979034402</v>
      </c>
      <c r="D153">
        <v>0.94873517799999996</v>
      </c>
      <c r="E153" t="str">
        <f t="shared" si="8"/>
        <v>T1ce+FLAIR</v>
      </c>
      <c r="F153" t="str">
        <f t="shared" si="9"/>
        <v>Ensemble</v>
      </c>
      <c r="G153" t="str">
        <f t="shared" si="10"/>
        <v>Ensemble</v>
      </c>
    </row>
    <row r="154" spans="1:7" x14ac:dyDescent="0.45">
      <c r="A154" t="s">
        <v>153</v>
      </c>
      <c r="B154">
        <v>0.95811247825622503</v>
      </c>
      <c r="C154">
        <v>0.95496213436126698</v>
      </c>
      <c r="D154">
        <v>0.95569568900000001</v>
      </c>
      <c r="E154" t="str">
        <f t="shared" si="8"/>
        <v>T1ce+FLAIR</v>
      </c>
      <c r="F154" t="str">
        <f t="shared" si="9"/>
        <v>T1ce+FLAIR</v>
      </c>
      <c r="G154" t="str">
        <f t="shared" si="10"/>
        <v>Ensemble</v>
      </c>
    </row>
    <row r="155" spans="1:7" x14ac:dyDescent="0.45">
      <c r="A155" t="s">
        <v>154</v>
      </c>
      <c r="B155">
        <v>0.97131884098052901</v>
      </c>
      <c r="C155">
        <v>0.96686327457427901</v>
      </c>
      <c r="D155">
        <v>0.97246450200000001</v>
      </c>
      <c r="E155" t="str">
        <f t="shared" si="8"/>
        <v>T1ce+FLAIR</v>
      </c>
      <c r="F155" t="str">
        <f t="shared" si="9"/>
        <v>Ensemble</v>
      </c>
      <c r="G155" t="str">
        <f t="shared" si="10"/>
        <v>Ensemble</v>
      </c>
    </row>
    <row r="156" spans="1:7" x14ac:dyDescent="0.45">
      <c r="A156" t="s">
        <v>155</v>
      </c>
      <c r="B156">
        <v>0.93762630224227905</v>
      </c>
      <c r="C156">
        <v>0.92950308322906405</v>
      </c>
      <c r="D156">
        <v>0.93398231300000001</v>
      </c>
      <c r="E156" t="str">
        <f t="shared" si="8"/>
        <v>T1ce+FLAIR</v>
      </c>
      <c r="F156" t="str">
        <f t="shared" si="9"/>
        <v>T1ce+FLAIR</v>
      </c>
      <c r="G156" t="str">
        <f t="shared" si="10"/>
        <v>Ensemble</v>
      </c>
    </row>
    <row r="157" spans="1:7" x14ac:dyDescent="0.45">
      <c r="A157" t="s">
        <v>156</v>
      </c>
      <c r="B157">
        <v>0.92790168523788397</v>
      </c>
      <c r="C157">
        <v>0.91085588932037298</v>
      </c>
      <c r="D157">
        <v>0.93300223400000004</v>
      </c>
      <c r="E157" t="str">
        <f t="shared" si="8"/>
        <v>T1ce+FLAIR</v>
      </c>
      <c r="F157" t="str">
        <f t="shared" si="9"/>
        <v>Ensemble</v>
      </c>
      <c r="G157" t="str">
        <f t="shared" si="10"/>
        <v>Ensemble</v>
      </c>
    </row>
    <row r="158" spans="1:7" x14ac:dyDescent="0.45">
      <c r="A158" t="s">
        <v>157</v>
      </c>
      <c r="B158">
        <v>0.76263183355331399</v>
      </c>
      <c r="C158">
        <v>0.75081819295883101</v>
      </c>
      <c r="D158">
        <v>0.78366231900000005</v>
      </c>
      <c r="E158" t="str">
        <f t="shared" si="8"/>
        <v>T1ce+FLAIR</v>
      </c>
      <c r="F158" t="str">
        <f t="shared" si="9"/>
        <v>Ensemble</v>
      </c>
      <c r="G158" t="str">
        <f t="shared" si="10"/>
        <v>Ensemble</v>
      </c>
    </row>
    <row r="159" spans="1:7" x14ac:dyDescent="0.45">
      <c r="A159" t="s">
        <v>158</v>
      </c>
      <c r="B159">
        <v>0.94212460517883301</v>
      </c>
      <c r="C159">
        <v>0.93725007772445601</v>
      </c>
      <c r="D159">
        <v>0.93743157399999999</v>
      </c>
      <c r="E159" t="str">
        <f t="shared" si="8"/>
        <v>T1ce+FLAIR</v>
      </c>
      <c r="F159" t="str">
        <f t="shared" si="9"/>
        <v>T1ce+FLAIR</v>
      </c>
      <c r="G159" t="str">
        <f t="shared" si="10"/>
        <v>Ensemble</v>
      </c>
    </row>
    <row r="160" spans="1:7" x14ac:dyDescent="0.45">
      <c r="A160" t="s">
        <v>159</v>
      </c>
      <c r="B160">
        <v>0.63383817672729403</v>
      </c>
      <c r="C160">
        <v>0.60723787546157804</v>
      </c>
      <c r="D160">
        <v>0.65421146200000002</v>
      </c>
      <c r="E160" t="str">
        <f t="shared" si="8"/>
        <v>T1ce+FLAIR</v>
      </c>
      <c r="F160" t="str">
        <f t="shared" si="9"/>
        <v>Ensemble</v>
      </c>
      <c r="G160" t="str">
        <f t="shared" si="10"/>
        <v>Ensemble</v>
      </c>
    </row>
    <row r="161" spans="1:7" x14ac:dyDescent="0.45">
      <c r="A161" t="s">
        <v>160</v>
      </c>
      <c r="B161">
        <v>0.96008509397506703</v>
      </c>
      <c r="C161">
        <v>0.97078412771224898</v>
      </c>
      <c r="D161">
        <v>0.96613556099999998</v>
      </c>
      <c r="E161" t="str">
        <f t="shared" si="8"/>
        <v>T2+T1ce</v>
      </c>
      <c r="F161" t="str">
        <f t="shared" si="9"/>
        <v>Ensemble</v>
      </c>
      <c r="G161" t="str">
        <f t="shared" si="10"/>
        <v>T2+T1ce</v>
      </c>
    </row>
    <row r="162" spans="1:7" x14ac:dyDescent="0.45">
      <c r="A162" t="s">
        <v>161</v>
      </c>
      <c r="B162">
        <v>0.865545153617858</v>
      </c>
      <c r="C162">
        <v>0.85898315906524603</v>
      </c>
      <c r="D162">
        <v>0.86688333699999998</v>
      </c>
      <c r="E162" t="str">
        <f t="shared" ref="E162:E189" si="11">IF(B162&gt;C162,"T1ce+FLAIR","T2+T1ce")</f>
        <v>T1ce+FLAIR</v>
      </c>
      <c r="F162" t="str">
        <f t="shared" si="9"/>
        <v>Ensemble</v>
      </c>
      <c r="G162" t="str">
        <f t="shared" si="10"/>
        <v>Ensemble</v>
      </c>
    </row>
    <row r="163" spans="1:7" x14ac:dyDescent="0.45">
      <c r="A163" t="s">
        <v>162</v>
      </c>
      <c r="B163">
        <v>0.94862383604049605</v>
      </c>
      <c r="C163">
        <v>0.94906914234161299</v>
      </c>
      <c r="D163">
        <v>0.95002204199999996</v>
      </c>
      <c r="E163" t="str">
        <f t="shared" si="11"/>
        <v>T2+T1ce</v>
      </c>
      <c r="F163" t="str">
        <f t="shared" si="9"/>
        <v>Ensemble</v>
      </c>
      <c r="G163" t="str">
        <f t="shared" si="10"/>
        <v>Ensemble</v>
      </c>
    </row>
    <row r="164" spans="1:7" x14ac:dyDescent="0.45">
      <c r="A164" t="s">
        <v>163</v>
      </c>
      <c r="B164">
        <v>0.83004134893417303</v>
      </c>
      <c r="C164">
        <v>0.83286386728286699</v>
      </c>
      <c r="D164">
        <v>0.82682871800000002</v>
      </c>
      <c r="E164" t="str">
        <f t="shared" si="11"/>
        <v>T2+T1ce</v>
      </c>
      <c r="F164" t="str">
        <f t="shared" si="9"/>
        <v>T1ce+FLAIR</v>
      </c>
      <c r="G164" t="str">
        <f t="shared" si="10"/>
        <v>T2+T1ce</v>
      </c>
    </row>
    <row r="165" spans="1:7" x14ac:dyDescent="0.45">
      <c r="A165" t="s">
        <v>164</v>
      </c>
      <c r="B165">
        <v>0.88483566045761097</v>
      </c>
      <c r="C165">
        <v>0.86777436733245805</v>
      </c>
      <c r="D165">
        <v>0.88254153700000004</v>
      </c>
      <c r="E165" t="str">
        <f t="shared" si="11"/>
        <v>T1ce+FLAIR</v>
      </c>
      <c r="F165" t="str">
        <f t="shared" si="9"/>
        <v>T1ce+FLAIR</v>
      </c>
      <c r="G165" t="str">
        <f t="shared" si="10"/>
        <v>Ensemble</v>
      </c>
    </row>
    <row r="166" spans="1:7" x14ac:dyDescent="0.45">
      <c r="A166" t="s">
        <v>165</v>
      </c>
      <c r="B166">
        <v>0.17450970411300601</v>
      </c>
      <c r="C166">
        <v>0.18033683300018299</v>
      </c>
      <c r="D166">
        <v>0.201738536</v>
      </c>
      <c r="E166" t="str">
        <f t="shared" si="11"/>
        <v>T2+T1ce</v>
      </c>
      <c r="F166" t="str">
        <f t="shared" si="9"/>
        <v>Ensemble</v>
      </c>
      <c r="G166" t="str">
        <f t="shared" si="10"/>
        <v>Ensemble</v>
      </c>
    </row>
    <row r="167" spans="1:7" x14ac:dyDescent="0.45">
      <c r="A167" t="s">
        <v>166</v>
      </c>
      <c r="B167">
        <v>0.87843763828277499</v>
      </c>
      <c r="C167">
        <v>0.86204206943511896</v>
      </c>
      <c r="D167">
        <v>0.86764705200000003</v>
      </c>
      <c r="E167" t="str">
        <f t="shared" si="11"/>
        <v>T1ce+FLAIR</v>
      </c>
      <c r="F167" t="str">
        <f t="shared" si="9"/>
        <v>T1ce+FLAIR</v>
      </c>
      <c r="G167" t="str">
        <f t="shared" si="10"/>
        <v>Ensemble</v>
      </c>
    </row>
    <row r="168" spans="1:7" x14ac:dyDescent="0.45">
      <c r="A168" t="s">
        <v>167</v>
      </c>
      <c r="B168">
        <v>0.92770069837570102</v>
      </c>
      <c r="C168">
        <v>0.92977744340896595</v>
      </c>
      <c r="D168">
        <v>0.93698769800000004</v>
      </c>
      <c r="E168" t="str">
        <f t="shared" si="11"/>
        <v>T2+T1ce</v>
      </c>
      <c r="F168" t="str">
        <f t="shared" si="9"/>
        <v>Ensemble</v>
      </c>
      <c r="G168" t="str">
        <f t="shared" si="10"/>
        <v>Ensemble</v>
      </c>
    </row>
    <row r="169" spans="1:7" x14ac:dyDescent="0.45">
      <c r="A169" t="s">
        <v>168</v>
      </c>
      <c r="B169">
        <v>0.86655825376510598</v>
      </c>
      <c r="C169">
        <v>0.85562002658843905</v>
      </c>
      <c r="D169">
        <v>0.87329900299999996</v>
      </c>
      <c r="E169" t="str">
        <f t="shared" si="11"/>
        <v>T1ce+FLAIR</v>
      </c>
      <c r="F169" t="str">
        <f t="shared" si="9"/>
        <v>Ensemble</v>
      </c>
      <c r="G169" t="str">
        <f t="shared" si="10"/>
        <v>Ensemble</v>
      </c>
    </row>
    <row r="170" spans="1:7" x14ac:dyDescent="0.45">
      <c r="A170" t="s">
        <v>169</v>
      </c>
      <c r="B170">
        <v>0.673439741134643</v>
      </c>
      <c r="C170">
        <v>0.53257864713668801</v>
      </c>
      <c r="D170">
        <v>0.53573781300000001</v>
      </c>
      <c r="E170" t="str">
        <f t="shared" si="11"/>
        <v>T1ce+FLAIR</v>
      </c>
      <c r="F170" t="str">
        <f t="shared" si="9"/>
        <v>T1ce+FLAIR</v>
      </c>
      <c r="G170" t="str">
        <f t="shared" si="10"/>
        <v>Ensemble</v>
      </c>
    </row>
    <row r="171" spans="1:7" x14ac:dyDescent="0.45">
      <c r="A171" t="s">
        <v>170</v>
      </c>
      <c r="B171">
        <v>0.95303690433502197</v>
      </c>
      <c r="C171">
        <v>0.95411127805709794</v>
      </c>
      <c r="D171">
        <v>0.95959287900000001</v>
      </c>
      <c r="E171" t="str">
        <f t="shared" si="11"/>
        <v>T2+T1ce</v>
      </c>
      <c r="F171" t="str">
        <f t="shared" si="9"/>
        <v>Ensemble</v>
      </c>
      <c r="G171" t="str">
        <f t="shared" si="10"/>
        <v>Ensemble</v>
      </c>
    </row>
    <row r="172" spans="1:7" x14ac:dyDescent="0.45">
      <c r="A172" t="s">
        <v>171</v>
      </c>
      <c r="B172">
        <v>0.93240809440612704</v>
      </c>
      <c r="C172">
        <v>0.90705251693725497</v>
      </c>
      <c r="D172">
        <v>0.92102861400000002</v>
      </c>
      <c r="E172" t="str">
        <f t="shared" si="11"/>
        <v>T1ce+FLAIR</v>
      </c>
      <c r="F172" t="str">
        <f t="shared" si="9"/>
        <v>T1ce+FLAIR</v>
      </c>
      <c r="G172" t="str">
        <f t="shared" si="10"/>
        <v>Ensemble</v>
      </c>
    </row>
    <row r="173" spans="1:7" x14ac:dyDescent="0.45">
      <c r="A173" t="s">
        <v>172</v>
      </c>
      <c r="B173">
        <v>0.92542117834091098</v>
      </c>
      <c r="C173">
        <v>0.91750669479370095</v>
      </c>
      <c r="D173">
        <v>0.92697256800000005</v>
      </c>
      <c r="E173" t="str">
        <f t="shared" si="11"/>
        <v>T1ce+FLAIR</v>
      </c>
      <c r="F173" t="str">
        <f t="shared" si="9"/>
        <v>Ensemble</v>
      </c>
      <c r="G173" t="str">
        <f t="shared" si="10"/>
        <v>Ensemble</v>
      </c>
    </row>
    <row r="174" spans="1:7" x14ac:dyDescent="0.45">
      <c r="A174" t="s">
        <v>173</v>
      </c>
      <c r="B174">
        <v>0.95162093639373702</v>
      </c>
      <c r="C174">
        <v>0.94240838289260798</v>
      </c>
      <c r="D174">
        <v>0.95001280300000002</v>
      </c>
      <c r="E174" t="str">
        <f t="shared" si="11"/>
        <v>T1ce+FLAIR</v>
      </c>
      <c r="F174" t="str">
        <f t="shared" si="9"/>
        <v>T1ce+FLAIR</v>
      </c>
      <c r="G174" t="str">
        <f t="shared" si="10"/>
        <v>Ensemble</v>
      </c>
    </row>
    <row r="175" spans="1:7" x14ac:dyDescent="0.45">
      <c r="A175" t="s">
        <v>174</v>
      </c>
      <c r="B175">
        <v>0.87257385253906194</v>
      </c>
      <c r="C175">
        <v>0.85831958055496205</v>
      </c>
      <c r="D175">
        <v>0.88356167100000005</v>
      </c>
      <c r="E175" t="str">
        <f t="shared" si="11"/>
        <v>T1ce+FLAIR</v>
      </c>
      <c r="F175" t="str">
        <f t="shared" si="9"/>
        <v>Ensemble</v>
      </c>
      <c r="G175" t="str">
        <f t="shared" si="10"/>
        <v>Ensemble</v>
      </c>
    </row>
    <row r="176" spans="1:7" x14ac:dyDescent="0.45">
      <c r="A176" t="s">
        <v>175</v>
      </c>
      <c r="B176">
        <v>0.95500969886779696</v>
      </c>
      <c r="C176">
        <v>0.95037776231765703</v>
      </c>
      <c r="D176">
        <v>0.94839131799999998</v>
      </c>
      <c r="E176" t="str">
        <f t="shared" si="11"/>
        <v>T1ce+FLAIR</v>
      </c>
      <c r="F176" t="str">
        <f t="shared" si="9"/>
        <v>T1ce+FLAIR</v>
      </c>
      <c r="G176" t="str">
        <f t="shared" si="10"/>
        <v>T2+T1ce</v>
      </c>
    </row>
    <row r="177" spans="1:7" x14ac:dyDescent="0.45">
      <c r="A177" t="s">
        <v>176</v>
      </c>
      <c r="B177">
        <v>0.96108090877532903</v>
      </c>
      <c r="C177">
        <v>0.94169896841049106</v>
      </c>
      <c r="D177">
        <v>0.96348798300000005</v>
      </c>
      <c r="E177" t="str">
        <f t="shared" si="11"/>
        <v>T1ce+FLAIR</v>
      </c>
      <c r="F177" t="str">
        <f t="shared" si="9"/>
        <v>Ensemble</v>
      </c>
      <c r="G177" t="str">
        <f t="shared" si="10"/>
        <v>Ensemble</v>
      </c>
    </row>
    <row r="178" spans="1:7" x14ac:dyDescent="0.45">
      <c r="A178" t="s">
        <v>177</v>
      </c>
      <c r="B178">
        <v>0.97105425596237105</v>
      </c>
      <c r="C178">
        <v>0.96129941940307595</v>
      </c>
      <c r="D178">
        <v>0.96960914099999995</v>
      </c>
      <c r="E178" t="str">
        <f t="shared" si="11"/>
        <v>T1ce+FLAIR</v>
      </c>
      <c r="F178" t="str">
        <f t="shared" si="9"/>
        <v>T1ce+FLAIR</v>
      </c>
      <c r="G178" t="str">
        <f t="shared" si="10"/>
        <v>Ensemble</v>
      </c>
    </row>
    <row r="179" spans="1:7" x14ac:dyDescent="0.45">
      <c r="A179" t="s">
        <v>178</v>
      </c>
      <c r="B179">
        <v>0.96224969625473</v>
      </c>
      <c r="C179">
        <v>0.96315330266952504</v>
      </c>
      <c r="D179">
        <v>0.96586060500000004</v>
      </c>
      <c r="E179" t="str">
        <f t="shared" si="11"/>
        <v>T2+T1ce</v>
      </c>
      <c r="F179" t="str">
        <f t="shared" si="9"/>
        <v>Ensemble</v>
      </c>
      <c r="G179" t="str">
        <f t="shared" si="10"/>
        <v>Ensemble</v>
      </c>
    </row>
    <row r="180" spans="1:7" x14ac:dyDescent="0.45">
      <c r="A180" t="s">
        <v>179</v>
      </c>
      <c r="B180">
        <v>0.94272035360336304</v>
      </c>
      <c r="C180">
        <v>0.94140428304672197</v>
      </c>
      <c r="D180">
        <v>0.93725293899999995</v>
      </c>
      <c r="E180" t="str">
        <f t="shared" si="11"/>
        <v>T1ce+FLAIR</v>
      </c>
      <c r="F180" t="str">
        <f t="shared" si="9"/>
        <v>T1ce+FLAIR</v>
      </c>
      <c r="G180" t="str">
        <f t="shared" si="10"/>
        <v>T2+T1ce</v>
      </c>
    </row>
    <row r="181" spans="1:7" x14ac:dyDescent="0.45">
      <c r="A181" t="s">
        <v>180</v>
      </c>
      <c r="B181">
        <v>0.93865513801574696</v>
      </c>
      <c r="C181">
        <v>0.94391471147537198</v>
      </c>
      <c r="D181">
        <v>0.94999998799999996</v>
      </c>
      <c r="E181" t="str">
        <f t="shared" si="11"/>
        <v>T2+T1ce</v>
      </c>
      <c r="F181" t="str">
        <f t="shared" si="9"/>
        <v>Ensemble</v>
      </c>
      <c r="G181" t="str">
        <f t="shared" si="10"/>
        <v>Ensemble</v>
      </c>
    </row>
    <row r="182" spans="1:7" x14ac:dyDescent="0.45">
      <c r="A182" t="s">
        <v>181</v>
      </c>
      <c r="B182">
        <v>0.83234345912933305</v>
      </c>
      <c r="C182">
        <v>0.827140033245086</v>
      </c>
      <c r="D182">
        <v>0.83519375299999998</v>
      </c>
      <c r="E182" t="str">
        <f t="shared" si="11"/>
        <v>T1ce+FLAIR</v>
      </c>
      <c r="F182" t="str">
        <f t="shared" si="9"/>
        <v>Ensemble</v>
      </c>
      <c r="G182" t="str">
        <f t="shared" si="10"/>
        <v>Ensemble</v>
      </c>
    </row>
    <row r="183" spans="1:7" x14ac:dyDescent="0.45">
      <c r="A183" t="s">
        <v>182</v>
      </c>
      <c r="B183">
        <v>0.95531952381134</v>
      </c>
      <c r="C183">
        <v>0.96169185638427701</v>
      </c>
      <c r="D183">
        <v>0.96105074899999998</v>
      </c>
      <c r="E183" t="str">
        <f t="shared" si="11"/>
        <v>T2+T1ce</v>
      </c>
      <c r="F183" t="str">
        <f t="shared" si="9"/>
        <v>Ensemble</v>
      </c>
      <c r="G183" t="str">
        <f t="shared" si="10"/>
        <v>T2+T1ce</v>
      </c>
    </row>
    <row r="184" spans="1:7" x14ac:dyDescent="0.45">
      <c r="A184" t="s">
        <v>183</v>
      </c>
      <c r="B184">
        <v>0.93283015489578203</v>
      </c>
      <c r="C184">
        <v>0.91447246074676503</v>
      </c>
      <c r="D184">
        <v>0.93394011300000002</v>
      </c>
      <c r="E184" t="str">
        <f t="shared" si="11"/>
        <v>T1ce+FLAIR</v>
      </c>
      <c r="F184" t="str">
        <f t="shared" si="9"/>
        <v>Ensemble</v>
      </c>
      <c r="G184" t="str">
        <f t="shared" si="10"/>
        <v>Ensemble</v>
      </c>
    </row>
    <row r="185" spans="1:7" x14ac:dyDescent="0.45">
      <c r="A185" t="s">
        <v>184</v>
      </c>
      <c r="B185">
        <v>0.96124339103698697</v>
      </c>
      <c r="C185">
        <v>0.95328998565673795</v>
      </c>
      <c r="D185">
        <v>0.95697528099999996</v>
      </c>
      <c r="E185" t="str">
        <f t="shared" si="11"/>
        <v>T1ce+FLAIR</v>
      </c>
      <c r="F185" t="str">
        <f t="shared" si="9"/>
        <v>T1ce+FLAIR</v>
      </c>
      <c r="G185" t="str">
        <f t="shared" si="10"/>
        <v>Ensemble</v>
      </c>
    </row>
    <row r="186" spans="1:7" x14ac:dyDescent="0.45">
      <c r="A186" t="s">
        <v>185</v>
      </c>
      <c r="B186">
        <v>0.86336034536361606</v>
      </c>
      <c r="C186">
        <v>0.85915845632553101</v>
      </c>
      <c r="D186">
        <v>0.85471844699999999</v>
      </c>
      <c r="E186" t="str">
        <f t="shared" si="11"/>
        <v>T1ce+FLAIR</v>
      </c>
      <c r="F186" t="str">
        <f t="shared" si="9"/>
        <v>T1ce+FLAIR</v>
      </c>
      <c r="G186" t="str">
        <f t="shared" si="10"/>
        <v>T2+T1ce</v>
      </c>
    </row>
    <row r="187" spans="1:7" x14ac:dyDescent="0.45">
      <c r="A187" t="s">
        <v>186</v>
      </c>
      <c r="B187">
        <v>0.12175878137350001</v>
      </c>
      <c r="C187">
        <v>0.189924180507659</v>
      </c>
      <c r="D187">
        <v>0.18675029300000001</v>
      </c>
      <c r="E187" t="str">
        <f t="shared" si="11"/>
        <v>T2+T1ce</v>
      </c>
      <c r="F187" t="str">
        <f t="shared" si="9"/>
        <v>Ensemble</v>
      </c>
      <c r="G187" t="str">
        <f t="shared" si="10"/>
        <v>T2+T1ce</v>
      </c>
    </row>
    <row r="188" spans="1:7" x14ac:dyDescent="0.45">
      <c r="A188" t="s">
        <v>187</v>
      </c>
      <c r="B188">
        <v>0.96484309434890703</v>
      </c>
      <c r="C188">
        <v>0.94465065002441395</v>
      </c>
      <c r="D188">
        <v>0.95635145899999996</v>
      </c>
      <c r="E188" t="str">
        <f t="shared" si="11"/>
        <v>T1ce+FLAIR</v>
      </c>
      <c r="F188" t="str">
        <f t="shared" si="9"/>
        <v>T1ce+FLAIR</v>
      </c>
      <c r="G188" t="str">
        <f t="shared" si="10"/>
        <v>Ensemble</v>
      </c>
    </row>
    <row r="189" spans="1:7" x14ac:dyDescent="0.45">
      <c r="A189" t="s">
        <v>188</v>
      </c>
      <c r="B189">
        <v>0.93518310785293501</v>
      </c>
      <c r="C189">
        <v>0.93805712461471502</v>
      </c>
      <c r="D189">
        <v>0.94527822699999997</v>
      </c>
      <c r="E189" t="str">
        <f t="shared" si="11"/>
        <v>T2+T1ce</v>
      </c>
      <c r="F189" t="str">
        <f t="shared" si="9"/>
        <v>Ensemble</v>
      </c>
      <c r="G189" t="str">
        <f t="shared" si="10"/>
        <v>Ensemble</v>
      </c>
    </row>
    <row r="191" spans="1:7" x14ac:dyDescent="0.45">
      <c r="D191" s="1">
        <v>5.1894099999999998E-10</v>
      </c>
    </row>
    <row r="192" spans="1:7" x14ac:dyDescent="0.45">
      <c r="D192">
        <v>0.97823971499999995</v>
      </c>
    </row>
  </sheetData>
  <mergeCells count="3">
    <mergeCell ref="K4:L4"/>
    <mergeCell ref="N4:O4"/>
    <mergeCell ref="Q4:R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0163-1BEE-4FBF-BE4C-B4A7AC9CEC2E}">
  <dimension ref="A1:L192"/>
  <sheetViews>
    <sheetView workbookViewId="0">
      <selection activeCell="D1" activeCellId="1" sqref="B1:B1048576 D1:D1048576"/>
    </sheetView>
  </sheetViews>
  <sheetFormatPr defaultRowHeight="14.25" x14ac:dyDescent="0.45"/>
  <cols>
    <col min="1" max="1" width="17.59765625" bestFit="1" customWidth="1"/>
    <col min="2" max="2" width="15.33203125" bestFit="1" customWidth="1"/>
    <col min="3" max="3" width="13.1328125" bestFit="1" customWidth="1"/>
    <col min="5" max="6" width="9.6640625" bestFit="1" customWidth="1"/>
  </cols>
  <sheetData>
    <row r="1" spans="1:12" x14ac:dyDescent="0.45">
      <c r="A1" t="s">
        <v>0</v>
      </c>
      <c r="B1" t="s">
        <v>192</v>
      </c>
      <c r="C1" t="s">
        <v>193</v>
      </c>
      <c r="D1" t="s">
        <v>205</v>
      </c>
    </row>
    <row r="2" spans="1:12" x14ac:dyDescent="0.45">
      <c r="A2" t="s">
        <v>1</v>
      </c>
      <c r="B2">
        <v>0.93414753675460804</v>
      </c>
      <c r="C2">
        <v>0.93583691120147705</v>
      </c>
      <c r="D2">
        <v>0.94028466899999996</v>
      </c>
      <c r="E2" t="str">
        <f t="shared" ref="E2:E33" si="0">IF(B2&gt;C2,"T1ce+FLAIR","T2+T1ce")</f>
        <v>T2+T1ce</v>
      </c>
    </row>
    <row r="3" spans="1:12" x14ac:dyDescent="0.45">
      <c r="A3" t="s">
        <v>2</v>
      </c>
      <c r="B3">
        <v>0.94172620773315396</v>
      </c>
      <c r="C3">
        <v>0.94526433944702104</v>
      </c>
      <c r="D3">
        <v>0.95231068100000005</v>
      </c>
      <c r="E3" t="str">
        <f t="shared" si="0"/>
        <v>T2+T1ce</v>
      </c>
      <c r="K3" s="3" t="s">
        <v>202</v>
      </c>
      <c r="L3" s="3"/>
    </row>
    <row r="4" spans="1:12" x14ac:dyDescent="0.45">
      <c r="A4" t="s">
        <v>3</v>
      </c>
      <c r="B4">
        <v>0.85047537088394098</v>
      </c>
      <c r="C4">
        <v>0.83352804183959905</v>
      </c>
      <c r="D4">
        <v>0.84317839100000003</v>
      </c>
      <c r="E4" t="str">
        <f t="shared" si="0"/>
        <v>T1ce+FLAIR</v>
      </c>
      <c r="K4" s="2" t="s">
        <v>198</v>
      </c>
      <c r="L4" s="2">
        <f>COUNTIF(E2:E189, "T1ce+FLAIR")</f>
        <v>128</v>
      </c>
    </row>
    <row r="5" spans="1:12" x14ac:dyDescent="0.45">
      <c r="A5" t="s">
        <v>4</v>
      </c>
      <c r="B5">
        <v>0.88461875915527299</v>
      </c>
      <c r="C5">
        <v>0.86787986755371005</v>
      </c>
      <c r="D5">
        <v>0.88693922800000002</v>
      </c>
      <c r="E5" t="str">
        <f t="shared" si="0"/>
        <v>T1ce+FLAIR</v>
      </c>
      <c r="K5" s="2" t="s">
        <v>199</v>
      </c>
      <c r="L5" s="2">
        <f>COUNTIF(E2:E189, "T2+T1ce")</f>
        <v>60</v>
      </c>
    </row>
    <row r="6" spans="1:12" x14ac:dyDescent="0.45">
      <c r="A6" t="s">
        <v>5</v>
      </c>
      <c r="B6">
        <v>0.75835722684860196</v>
      </c>
      <c r="C6">
        <v>0.76451951265335005</v>
      </c>
      <c r="D6">
        <v>0.81156319399999999</v>
      </c>
      <c r="E6" t="str">
        <f t="shared" si="0"/>
        <v>T2+T1ce</v>
      </c>
    </row>
    <row r="7" spans="1:12" x14ac:dyDescent="0.45">
      <c r="A7" t="s">
        <v>6</v>
      </c>
      <c r="B7" s="1">
        <v>1.79533210520332E-9</v>
      </c>
      <c r="C7" s="1">
        <v>3.7037032996067798E-8</v>
      </c>
      <c r="D7" s="1">
        <v>1.2299999999999999E-8</v>
      </c>
      <c r="E7" t="str">
        <f t="shared" si="0"/>
        <v>T2+T1ce</v>
      </c>
    </row>
    <row r="8" spans="1:12" x14ac:dyDescent="0.45">
      <c r="A8" t="s">
        <v>7</v>
      </c>
      <c r="B8">
        <v>0.89241349697113004</v>
      </c>
      <c r="C8">
        <v>0.89174681901931696</v>
      </c>
      <c r="D8">
        <v>0.89102524500000002</v>
      </c>
      <c r="E8" t="str">
        <f t="shared" si="0"/>
        <v>T1ce+FLAIR</v>
      </c>
    </row>
    <row r="9" spans="1:12" x14ac:dyDescent="0.45">
      <c r="A9" t="s">
        <v>8</v>
      </c>
      <c r="B9">
        <v>0.93072700500488204</v>
      </c>
      <c r="C9">
        <v>0.93895262479782104</v>
      </c>
      <c r="D9">
        <v>0.94013685000000002</v>
      </c>
      <c r="E9" t="str">
        <f t="shared" si="0"/>
        <v>T2+T1ce</v>
      </c>
    </row>
    <row r="10" spans="1:12" x14ac:dyDescent="0.45">
      <c r="A10" t="s">
        <v>9</v>
      </c>
      <c r="B10">
        <v>0.89226162433624201</v>
      </c>
      <c r="C10">
        <v>0.88942825794219904</v>
      </c>
      <c r="D10">
        <v>0.89575666200000004</v>
      </c>
      <c r="E10" t="str">
        <f t="shared" si="0"/>
        <v>T1ce+FLAIR</v>
      </c>
    </row>
    <row r="11" spans="1:12" x14ac:dyDescent="0.45">
      <c r="A11" t="s">
        <v>10</v>
      </c>
      <c r="B11">
        <v>0.85085809230804399</v>
      </c>
      <c r="C11">
        <v>0.86769372224807695</v>
      </c>
      <c r="D11">
        <v>0.84690839100000004</v>
      </c>
      <c r="E11" t="str">
        <f t="shared" si="0"/>
        <v>T2+T1ce</v>
      </c>
    </row>
    <row r="12" spans="1:12" x14ac:dyDescent="0.45">
      <c r="A12" t="s">
        <v>11</v>
      </c>
      <c r="B12">
        <v>0.89639639854431097</v>
      </c>
      <c r="C12">
        <v>0.88122153282165505</v>
      </c>
      <c r="D12">
        <v>0.89963871200000001</v>
      </c>
      <c r="E12" t="str">
        <f t="shared" si="0"/>
        <v>T1ce+FLAIR</v>
      </c>
    </row>
    <row r="13" spans="1:12" x14ac:dyDescent="0.45">
      <c r="A13" t="s">
        <v>12</v>
      </c>
      <c r="B13">
        <v>0.91004347801208496</v>
      </c>
      <c r="C13">
        <v>0.91361707448959295</v>
      </c>
      <c r="D13">
        <v>0.92035204199999998</v>
      </c>
      <c r="E13" t="str">
        <f t="shared" si="0"/>
        <v>T2+T1ce</v>
      </c>
    </row>
    <row r="14" spans="1:12" x14ac:dyDescent="0.45">
      <c r="A14" t="s">
        <v>13</v>
      </c>
      <c r="B14">
        <v>0.84221726655960005</v>
      </c>
      <c r="C14">
        <v>0.82992577552795399</v>
      </c>
      <c r="D14">
        <v>0.84588122399999999</v>
      </c>
      <c r="E14" t="str">
        <f t="shared" si="0"/>
        <v>T1ce+FLAIR</v>
      </c>
    </row>
    <row r="15" spans="1:12" x14ac:dyDescent="0.45">
      <c r="A15" t="s">
        <v>14</v>
      </c>
      <c r="B15">
        <v>0.83333706855773904</v>
      </c>
      <c r="C15">
        <v>0.86349785327911299</v>
      </c>
      <c r="D15">
        <v>0.84971255099999998</v>
      </c>
      <c r="E15" t="str">
        <f t="shared" si="0"/>
        <v>T2+T1ce</v>
      </c>
    </row>
    <row r="16" spans="1:12" x14ac:dyDescent="0.45">
      <c r="A16" t="s">
        <v>15</v>
      </c>
      <c r="B16">
        <v>0.77752667665481501</v>
      </c>
      <c r="C16">
        <v>0.76130753755569402</v>
      </c>
      <c r="D16">
        <v>0.78405356400000004</v>
      </c>
      <c r="E16" t="str">
        <f t="shared" si="0"/>
        <v>T1ce+FLAIR</v>
      </c>
    </row>
    <row r="17" spans="1:5" x14ac:dyDescent="0.45">
      <c r="A17" t="s">
        <v>16</v>
      </c>
      <c r="B17">
        <v>0.939114570617675</v>
      </c>
      <c r="C17">
        <v>0.92143833637237504</v>
      </c>
      <c r="D17">
        <v>0.93197530500000003</v>
      </c>
      <c r="E17" t="str">
        <f t="shared" si="0"/>
        <v>T1ce+FLAIR</v>
      </c>
    </row>
    <row r="18" spans="1:5" x14ac:dyDescent="0.45">
      <c r="A18" t="s">
        <v>17</v>
      </c>
      <c r="B18">
        <v>0.90966361761093095</v>
      </c>
      <c r="C18">
        <v>0.90997737646102905</v>
      </c>
      <c r="D18">
        <v>0.91138362900000003</v>
      </c>
      <c r="E18" t="str">
        <f t="shared" si="0"/>
        <v>T2+T1ce</v>
      </c>
    </row>
    <row r="19" spans="1:5" x14ac:dyDescent="0.45">
      <c r="A19" t="s">
        <v>18</v>
      </c>
      <c r="B19">
        <v>0.92450463771820002</v>
      </c>
      <c r="C19">
        <v>0.91877377033233598</v>
      </c>
      <c r="D19">
        <v>0.93768083999999996</v>
      </c>
      <c r="E19" t="str">
        <f t="shared" si="0"/>
        <v>T1ce+FLAIR</v>
      </c>
    </row>
    <row r="20" spans="1:5" x14ac:dyDescent="0.45">
      <c r="A20" t="s">
        <v>19</v>
      </c>
      <c r="B20">
        <v>0.85388022661209095</v>
      </c>
      <c r="C20">
        <v>0.92421489953994695</v>
      </c>
      <c r="D20">
        <v>0.86362492999999996</v>
      </c>
      <c r="E20" t="str">
        <f t="shared" si="0"/>
        <v>T2+T1ce</v>
      </c>
    </row>
    <row r="21" spans="1:5" x14ac:dyDescent="0.45">
      <c r="A21" t="s">
        <v>20</v>
      </c>
      <c r="B21">
        <v>0.90723627805709794</v>
      </c>
      <c r="C21">
        <v>0.89355522394180298</v>
      </c>
      <c r="D21">
        <v>0.91198396699999995</v>
      </c>
      <c r="E21" t="str">
        <f t="shared" si="0"/>
        <v>T1ce+FLAIR</v>
      </c>
    </row>
    <row r="22" spans="1:5" x14ac:dyDescent="0.45">
      <c r="A22" t="s">
        <v>21</v>
      </c>
      <c r="B22">
        <v>0.64899677038192705</v>
      </c>
      <c r="C22">
        <v>0.554948210716247</v>
      </c>
      <c r="D22">
        <v>0.72685396700000005</v>
      </c>
      <c r="E22" t="str">
        <f t="shared" si="0"/>
        <v>T1ce+FLAIR</v>
      </c>
    </row>
    <row r="23" spans="1:5" x14ac:dyDescent="0.45">
      <c r="A23" t="s">
        <v>22</v>
      </c>
      <c r="B23">
        <v>0.78225809335708596</v>
      </c>
      <c r="C23">
        <v>0.78787881135940496</v>
      </c>
      <c r="D23">
        <v>0.79247730999999999</v>
      </c>
      <c r="E23" t="str">
        <f t="shared" si="0"/>
        <v>T2+T1ce</v>
      </c>
    </row>
    <row r="24" spans="1:5" x14ac:dyDescent="0.45">
      <c r="A24" t="s">
        <v>23</v>
      </c>
      <c r="B24">
        <v>0.83732956647872903</v>
      </c>
      <c r="C24">
        <v>0.85402476787567105</v>
      </c>
      <c r="D24">
        <v>0.84245115500000001</v>
      </c>
      <c r="E24" t="str">
        <f t="shared" si="0"/>
        <v>T2+T1ce</v>
      </c>
    </row>
    <row r="25" spans="1:5" x14ac:dyDescent="0.45">
      <c r="A25" t="s">
        <v>24</v>
      </c>
      <c r="B25">
        <v>0.85604703426360995</v>
      </c>
      <c r="C25">
        <v>0.82907766103744496</v>
      </c>
      <c r="D25">
        <v>0.83286094700000002</v>
      </c>
      <c r="E25" t="str">
        <f t="shared" si="0"/>
        <v>T1ce+FLAIR</v>
      </c>
    </row>
    <row r="26" spans="1:5" x14ac:dyDescent="0.45">
      <c r="A26" t="s">
        <v>25</v>
      </c>
      <c r="B26">
        <v>0.79050546884536699</v>
      </c>
      <c r="C26">
        <v>0.78659576177597001</v>
      </c>
      <c r="D26">
        <v>0.78589868500000004</v>
      </c>
      <c r="E26" t="str">
        <f t="shared" si="0"/>
        <v>T1ce+FLAIR</v>
      </c>
    </row>
    <row r="27" spans="1:5" x14ac:dyDescent="0.45">
      <c r="A27" t="s">
        <v>26</v>
      </c>
      <c r="B27" s="1">
        <v>7.6763644052402201E-11</v>
      </c>
      <c r="C27" s="1">
        <v>1.2045289765616399E-10</v>
      </c>
      <c r="D27" s="1">
        <v>1.72E-10</v>
      </c>
      <c r="E27" t="str">
        <f t="shared" si="0"/>
        <v>T2+T1ce</v>
      </c>
    </row>
    <row r="28" spans="1:5" x14ac:dyDescent="0.45">
      <c r="A28" t="s">
        <v>27</v>
      </c>
      <c r="B28">
        <v>0.74824726581573398</v>
      </c>
      <c r="C28">
        <v>0.73110723495483398</v>
      </c>
      <c r="D28">
        <v>0.77324414299999999</v>
      </c>
      <c r="E28" t="str">
        <f t="shared" si="0"/>
        <v>T1ce+FLAIR</v>
      </c>
    </row>
    <row r="29" spans="1:5" x14ac:dyDescent="0.45">
      <c r="A29" t="s">
        <v>28</v>
      </c>
      <c r="B29">
        <v>0.79616284370422297</v>
      </c>
      <c r="C29">
        <v>0.79016005992889404</v>
      </c>
      <c r="D29">
        <v>0.805730104</v>
      </c>
      <c r="E29" t="str">
        <f t="shared" si="0"/>
        <v>T1ce+FLAIR</v>
      </c>
    </row>
    <row r="30" spans="1:5" x14ac:dyDescent="0.45">
      <c r="A30" t="s">
        <v>29</v>
      </c>
      <c r="B30">
        <v>0.94034492969512895</v>
      </c>
      <c r="C30">
        <v>0.94148421287536599</v>
      </c>
      <c r="D30">
        <v>0.94418275399999996</v>
      </c>
      <c r="E30" t="str">
        <f t="shared" si="0"/>
        <v>T2+T1ce</v>
      </c>
    </row>
    <row r="31" spans="1:5" x14ac:dyDescent="0.45">
      <c r="A31" t="s">
        <v>30</v>
      </c>
      <c r="B31">
        <v>0.86834144592285101</v>
      </c>
      <c r="C31">
        <v>0.85529077053070002</v>
      </c>
      <c r="D31">
        <v>0.86908042399999996</v>
      </c>
      <c r="E31" t="str">
        <f t="shared" si="0"/>
        <v>T1ce+FLAIR</v>
      </c>
    </row>
    <row r="32" spans="1:5" x14ac:dyDescent="0.45">
      <c r="A32" t="s">
        <v>31</v>
      </c>
      <c r="B32">
        <v>0.746357440948486</v>
      </c>
      <c r="C32">
        <v>0.71681779623031605</v>
      </c>
      <c r="D32">
        <v>0.73374623100000003</v>
      </c>
      <c r="E32" t="str">
        <f t="shared" si="0"/>
        <v>T1ce+FLAIR</v>
      </c>
    </row>
    <row r="33" spans="1:5" x14ac:dyDescent="0.45">
      <c r="A33" t="s">
        <v>32</v>
      </c>
      <c r="B33">
        <v>0.89386832714080799</v>
      </c>
      <c r="C33">
        <v>0.89903932809829701</v>
      </c>
      <c r="D33">
        <v>0.91031753999999998</v>
      </c>
      <c r="E33" t="str">
        <f t="shared" si="0"/>
        <v>T2+T1ce</v>
      </c>
    </row>
    <row r="34" spans="1:5" x14ac:dyDescent="0.45">
      <c r="A34" t="s">
        <v>33</v>
      </c>
      <c r="B34">
        <v>0.90875291824340798</v>
      </c>
      <c r="C34">
        <v>0.91810435056686401</v>
      </c>
      <c r="D34">
        <v>0.91836315400000001</v>
      </c>
      <c r="E34" t="str">
        <f t="shared" ref="E34:E65" si="1">IF(B34&gt;C34,"T1ce+FLAIR","T2+T1ce")</f>
        <v>T2+T1ce</v>
      </c>
    </row>
    <row r="35" spans="1:5" x14ac:dyDescent="0.45">
      <c r="A35" t="s">
        <v>34</v>
      </c>
      <c r="B35">
        <v>0.93465775251388505</v>
      </c>
      <c r="C35">
        <v>0.93200051784515303</v>
      </c>
      <c r="D35">
        <v>0.93756729400000005</v>
      </c>
      <c r="E35" t="str">
        <f t="shared" si="1"/>
        <v>T1ce+FLAIR</v>
      </c>
    </row>
    <row r="36" spans="1:5" x14ac:dyDescent="0.45">
      <c r="A36" t="s">
        <v>35</v>
      </c>
      <c r="B36">
        <v>0.855746269226074</v>
      </c>
      <c r="C36">
        <v>0.84833782911300604</v>
      </c>
      <c r="D36">
        <v>0.860582709</v>
      </c>
      <c r="E36" t="str">
        <f t="shared" si="1"/>
        <v>T1ce+FLAIR</v>
      </c>
    </row>
    <row r="37" spans="1:5" x14ac:dyDescent="0.45">
      <c r="A37" t="s">
        <v>36</v>
      </c>
      <c r="B37">
        <v>0.46684351563453602</v>
      </c>
      <c r="C37">
        <v>0.559312343597412</v>
      </c>
      <c r="D37">
        <v>0.46002042300000001</v>
      </c>
      <c r="E37" t="str">
        <f t="shared" si="1"/>
        <v>T2+T1ce</v>
      </c>
    </row>
    <row r="38" spans="1:5" x14ac:dyDescent="0.45">
      <c r="A38" t="s">
        <v>37</v>
      </c>
      <c r="B38">
        <v>0.53333336114883401</v>
      </c>
      <c r="C38">
        <v>0.47729673981666498</v>
      </c>
      <c r="D38">
        <v>0.41875681300000001</v>
      </c>
      <c r="E38" t="str">
        <f t="shared" si="1"/>
        <v>T1ce+FLAIR</v>
      </c>
    </row>
    <row r="39" spans="1:5" x14ac:dyDescent="0.45">
      <c r="A39" t="s">
        <v>38</v>
      </c>
      <c r="B39">
        <v>0.93853533267974798</v>
      </c>
      <c r="C39">
        <v>0.92626327276229803</v>
      </c>
      <c r="D39">
        <v>0.93261694900000003</v>
      </c>
      <c r="E39" t="str">
        <f t="shared" si="1"/>
        <v>T1ce+FLAIR</v>
      </c>
    </row>
    <row r="40" spans="1:5" x14ac:dyDescent="0.45">
      <c r="A40" t="s">
        <v>39</v>
      </c>
      <c r="B40" s="1">
        <v>2.3529411752321002E-9</v>
      </c>
      <c r="C40" s="1">
        <v>1.1363636254202399E-8</v>
      </c>
      <c r="D40" s="1">
        <v>1.4300000000000001E-8</v>
      </c>
      <c r="E40" t="str">
        <f t="shared" si="1"/>
        <v>T2+T1ce</v>
      </c>
    </row>
    <row r="41" spans="1:5" x14ac:dyDescent="0.45">
      <c r="A41" t="s">
        <v>40</v>
      </c>
      <c r="B41">
        <v>0.800323605537414</v>
      </c>
      <c r="C41">
        <v>0.78161460161209095</v>
      </c>
      <c r="D41">
        <v>0.80768013000000005</v>
      </c>
      <c r="E41" t="str">
        <f t="shared" si="1"/>
        <v>T1ce+FLAIR</v>
      </c>
    </row>
    <row r="42" spans="1:5" x14ac:dyDescent="0.45">
      <c r="A42" t="s">
        <v>41</v>
      </c>
      <c r="B42" s="1">
        <v>2.4999994252539102E-7</v>
      </c>
      <c r="C42" s="1">
        <v>2.2727272508404798E-8</v>
      </c>
      <c r="D42" s="1">
        <v>1.2499999999999999E-7</v>
      </c>
      <c r="E42" t="str">
        <f t="shared" si="1"/>
        <v>T1ce+FLAIR</v>
      </c>
    </row>
    <row r="43" spans="1:5" x14ac:dyDescent="0.45">
      <c r="A43" t="s">
        <v>42</v>
      </c>
      <c r="B43">
        <v>0.80663973093032804</v>
      </c>
      <c r="C43">
        <v>0.74153351783752397</v>
      </c>
      <c r="D43">
        <v>0.81056678299999996</v>
      </c>
      <c r="E43" t="str">
        <f t="shared" si="1"/>
        <v>T1ce+FLAIR</v>
      </c>
    </row>
    <row r="44" spans="1:5" x14ac:dyDescent="0.45">
      <c r="A44" t="s">
        <v>43</v>
      </c>
      <c r="B44">
        <v>0.92781430482864302</v>
      </c>
      <c r="C44">
        <v>0.925268113613128</v>
      </c>
      <c r="D44">
        <v>0.93122327299999996</v>
      </c>
      <c r="E44" t="str">
        <f t="shared" si="1"/>
        <v>T1ce+FLAIR</v>
      </c>
    </row>
    <row r="45" spans="1:5" x14ac:dyDescent="0.45">
      <c r="A45" t="s">
        <v>44</v>
      </c>
      <c r="B45">
        <v>0.81886613368988004</v>
      </c>
      <c r="C45">
        <v>0.82239633798599199</v>
      </c>
      <c r="D45">
        <v>0.79638624199999997</v>
      </c>
      <c r="E45" t="str">
        <f t="shared" si="1"/>
        <v>T2+T1ce</v>
      </c>
    </row>
    <row r="46" spans="1:5" x14ac:dyDescent="0.45">
      <c r="A46" t="s">
        <v>45</v>
      </c>
      <c r="B46">
        <v>0.93192774057388295</v>
      </c>
      <c r="C46">
        <v>0.90469008684158303</v>
      </c>
      <c r="D46">
        <v>0.90646284799999999</v>
      </c>
      <c r="E46" t="str">
        <f t="shared" si="1"/>
        <v>T1ce+FLAIR</v>
      </c>
    </row>
    <row r="47" spans="1:5" x14ac:dyDescent="0.45">
      <c r="A47" t="s">
        <v>46</v>
      </c>
      <c r="B47">
        <v>0.93191611766815097</v>
      </c>
      <c r="C47">
        <v>0.927373766899108</v>
      </c>
      <c r="D47">
        <v>0.93113625</v>
      </c>
      <c r="E47" t="str">
        <f t="shared" si="1"/>
        <v>T1ce+FLAIR</v>
      </c>
    </row>
    <row r="48" spans="1:5" x14ac:dyDescent="0.45">
      <c r="A48" t="s">
        <v>47</v>
      </c>
      <c r="B48">
        <v>0.83738267421722401</v>
      </c>
      <c r="C48">
        <v>0.88472819328308105</v>
      </c>
      <c r="D48">
        <v>0.88272070899999999</v>
      </c>
      <c r="E48" t="str">
        <f t="shared" si="1"/>
        <v>T2+T1ce</v>
      </c>
    </row>
    <row r="49" spans="1:5" x14ac:dyDescent="0.45">
      <c r="A49" t="s">
        <v>48</v>
      </c>
      <c r="B49">
        <v>0.85181140899658203</v>
      </c>
      <c r="C49">
        <v>0.85686200857162398</v>
      </c>
      <c r="D49">
        <v>0.87363773600000005</v>
      </c>
      <c r="E49" t="str">
        <f t="shared" si="1"/>
        <v>T2+T1ce</v>
      </c>
    </row>
    <row r="50" spans="1:5" x14ac:dyDescent="0.45">
      <c r="A50" t="s">
        <v>49</v>
      </c>
      <c r="B50">
        <v>0.88675659894943204</v>
      </c>
      <c r="C50">
        <v>0.86832046508788996</v>
      </c>
      <c r="D50">
        <v>0.897637248</v>
      </c>
      <c r="E50" t="str">
        <f t="shared" si="1"/>
        <v>T1ce+FLAIR</v>
      </c>
    </row>
    <row r="51" spans="1:5" x14ac:dyDescent="0.45">
      <c r="A51" t="s">
        <v>50</v>
      </c>
      <c r="B51">
        <v>0.93509924411773604</v>
      </c>
      <c r="C51">
        <v>0.92495983839035001</v>
      </c>
      <c r="D51">
        <v>0.93040448399999998</v>
      </c>
      <c r="E51" t="str">
        <f t="shared" si="1"/>
        <v>T1ce+FLAIR</v>
      </c>
    </row>
    <row r="52" spans="1:5" x14ac:dyDescent="0.45">
      <c r="A52" t="s">
        <v>51</v>
      </c>
      <c r="B52">
        <v>0.93383377790451005</v>
      </c>
      <c r="C52">
        <v>0.93027174472808805</v>
      </c>
      <c r="D52">
        <v>0.92735874699999998</v>
      </c>
      <c r="E52" t="str">
        <f t="shared" si="1"/>
        <v>T1ce+FLAIR</v>
      </c>
    </row>
    <row r="53" spans="1:5" x14ac:dyDescent="0.45">
      <c r="A53" t="s">
        <v>52</v>
      </c>
      <c r="B53">
        <v>0.91360992193222001</v>
      </c>
      <c r="C53">
        <v>0.90697216987609797</v>
      </c>
      <c r="D53">
        <v>0.92540365499999999</v>
      </c>
      <c r="E53" t="str">
        <f t="shared" si="1"/>
        <v>T1ce+FLAIR</v>
      </c>
    </row>
    <row r="54" spans="1:5" x14ac:dyDescent="0.45">
      <c r="A54" t="s">
        <v>53</v>
      </c>
      <c r="B54">
        <v>0.94290614128112704</v>
      </c>
      <c r="C54">
        <v>0.94507259130477905</v>
      </c>
      <c r="D54">
        <v>0.94272577800000001</v>
      </c>
      <c r="E54" t="str">
        <f t="shared" si="1"/>
        <v>T2+T1ce</v>
      </c>
    </row>
    <row r="55" spans="1:5" x14ac:dyDescent="0.45">
      <c r="A55" t="s">
        <v>54</v>
      </c>
      <c r="B55">
        <v>0.70787394046783403</v>
      </c>
      <c r="C55">
        <v>0.72560578584670998</v>
      </c>
      <c r="D55">
        <v>0.72864663600000001</v>
      </c>
      <c r="E55" t="str">
        <f t="shared" si="1"/>
        <v>T2+T1ce</v>
      </c>
    </row>
    <row r="56" spans="1:5" x14ac:dyDescent="0.45">
      <c r="A56" t="s">
        <v>55</v>
      </c>
      <c r="B56">
        <v>0.83972638845443703</v>
      </c>
      <c r="C56">
        <v>0.83455944061279297</v>
      </c>
      <c r="D56">
        <v>0.84948104599999996</v>
      </c>
      <c r="E56" t="str">
        <f t="shared" si="1"/>
        <v>T1ce+FLAIR</v>
      </c>
    </row>
    <row r="57" spans="1:5" x14ac:dyDescent="0.45">
      <c r="A57" t="s">
        <v>56</v>
      </c>
      <c r="B57">
        <v>0.93128693103790205</v>
      </c>
      <c r="C57">
        <v>0.92822182178497303</v>
      </c>
      <c r="D57">
        <v>0.92962157700000003</v>
      </c>
      <c r="E57" t="str">
        <f t="shared" si="1"/>
        <v>T1ce+FLAIR</v>
      </c>
    </row>
    <row r="58" spans="1:5" x14ac:dyDescent="0.45">
      <c r="A58" t="s">
        <v>57</v>
      </c>
      <c r="B58">
        <v>0.76923078298568703</v>
      </c>
      <c r="C58" s="1">
        <v>1.23456791456533E-8</v>
      </c>
      <c r="D58">
        <v>0.66666668699999998</v>
      </c>
      <c r="E58" t="str">
        <f t="shared" si="1"/>
        <v>T1ce+FLAIR</v>
      </c>
    </row>
    <row r="59" spans="1:5" x14ac:dyDescent="0.45">
      <c r="A59" t="s">
        <v>58</v>
      </c>
      <c r="B59">
        <v>0.93486052751541104</v>
      </c>
      <c r="C59">
        <v>0.93051266670226995</v>
      </c>
      <c r="D59">
        <v>0.94662654400000001</v>
      </c>
      <c r="E59" t="str">
        <f t="shared" si="1"/>
        <v>T1ce+FLAIR</v>
      </c>
    </row>
    <row r="60" spans="1:5" x14ac:dyDescent="0.45">
      <c r="A60" t="s">
        <v>59</v>
      </c>
      <c r="B60">
        <v>0.92765450477600098</v>
      </c>
      <c r="C60">
        <v>0.93227505683898904</v>
      </c>
      <c r="D60">
        <v>0.936818182</v>
      </c>
      <c r="E60" t="str">
        <f t="shared" si="1"/>
        <v>T2+T1ce</v>
      </c>
    </row>
    <row r="61" spans="1:5" x14ac:dyDescent="0.45">
      <c r="A61" t="s">
        <v>60</v>
      </c>
      <c r="B61">
        <v>0.87909096479415805</v>
      </c>
      <c r="C61">
        <v>0.85348331928253096</v>
      </c>
      <c r="D61">
        <v>0.88034319900000002</v>
      </c>
      <c r="E61" t="str">
        <f t="shared" si="1"/>
        <v>T1ce+FLAIR</v>
      </c>
    </row>
    <row r="62" spans="1:5" x14ac:dyDescent="0.45">
      <c r="A62" t="s">
        <v>61</v>
      </c>
      <c r="B62">
        <v>0.88805478811264005</v>
      </c>
      <c r="C62">
        <v>0.85052257776260298</v>
      </c>
      <c r="D62">
        <v>0.88725262900000001</v>
      </c>
      <c r="E62" t="str">
        <f t="shared" si="1"/>
        <v>T1ce+FLAIR</v>
      </c>
    </row>
    <row r="63" spans="1:5" x14ac:dyDescent="0.45">
      <c r="A63" t="s">
        <v>62</v>
      </c>
      <c r="B63">
        <v>0.88443380594253496</v>
      </c>
      <c r="C63">
        <v>0.87098336219787598</v>
      </c>
      <c r="D63">
        <v>0.88278514100000005</v>
      </c>
      <c r="E63" t="str">
        <f t="shared" si="1"/>
        <v>T1ce+FLAIR</v>
      </c>
    </row>
    <row r="64" spans="1:5" x14ac:dyDescent="0.45">
      <c r="A64" t="s">
        <v>63</v>
      </c>
      <c r="B64">
        <v>0.87400227785110396</v>
      </c>
      <c r="C64">
        <v>0.88005650043487504</v>
      </c>
      <c r="D64">
        <v>0.89362794199999995</v>
      </c>
      <c r="E64" t="str">
        <f t="shared" si="1"/>
        <v>T2+T1ce</v>
      </c>
    </row>
    <row r="65" spans="1:5" x14ac:dyDescent="0.45">
      <c r="A65" t="s">
        <v>64</v>
      </c>
      <c r="B65">
        <v>0.86089682579040505</v>
      </c>
      <c r="C65">
        <v>0.85317647457122803</v>
      </c>
      <c r="D65">
        <v>0.86118978300000004</v>
      </c>
      <c r="E65" t="str">
        <f t="shared" si="1"/>
        <v>T1ce+FLAIR</v>
      </c>
    </row>
    <row r="66" spans="1:5" x14ac:dyDescent="0.45">
      <c r="A66" t="s">
        <v>65</v>
      </c>
      <c r="B66">
        <v>0.85671472549438399</v>
      </c>
      <c r="C66">
        <v>0.84011512994766202</v>
      </c>
      <c r="D66">
        <v>0.86115449700000002</v>
      </c>
      <c r="E66" t="str">
        <f t="shared" ref="E66:E97" si="2">IF(B66&gt;C66,"T1ce+FLAIR","T2+T1ce")</f>
        <v>T1ce+FLAIR</v>
      </c>
    </row>
    <row r="67" spans="1:5" x14ac:dyDescent="0.45">
      <c r="A67" t="s">
        <v>66</v>
      </c>
      <c r="B67">
        <v>0.87953954935073797</v>
      </c>
      <c r="C67">
        <v>0.87269681692123402</v>
      </c>
      <c r="D67">
        <v>0.89160126399999995</v>
      </c>
      <c r="E67" t="str">
        <f t="shared" si="2"/>
        <v>T1ce+FLAIR</v>
      </c>
    </row>
    <row r="68" spans="1:5" x14ac:dyDescent="0.45">
      <c r="A68" t="s">
        <v>67</v>
      </c>
      <c r="B68">
        <v>0.83889955282211304</v>
      </c>
      <c r="C68">
        <v>0.81624895334243697</v>
      </c>
      <c r="D68">
        <v>0.82670235599999997</v>
      </c>
      <c r="E68" t="str">
        <f t="shared" si="2"/>
        <v>T1ce+FLAIR</v>
      </c>
    </row>
    <row r="69" spans="1:5" x14ac:dyDescent="0.45">
      <c r="A69" t="s">
        <v>68</v>
      </c>
      <c r="B69">
        <v>0.90090090036392201</v>
      </c>
      <c r="C69">
        <v>0.86938565969467096</v>
      </c>
      <c r="D69">
        <v>0.904071391</v>
      </c>
      <c r="E69" t="str">
        <f t="shared" si="2"/>
        <v>T1ce+FLAIR</v>
      </c>
    </row>
    <row r="70" spans="1:5" x14ac:dyDescent="0.45">
      <c r="A70" t="s">
        <v>69</v>
      </c>
      <c r="B70">
        <v>0.85906225442886297</v>
      </c>
      <c r="C70">
        <v>0.85738384723663297</v>
      </c>
      <c r="D70">
        <v>0.87001037599999997</v>
      </c>
      <c r="E70" t="str">
        <f t="shared" si="2"/>
        <v>T1ce+FLAIR</v>
      </c>
    </row>
    <row r="71" spans="1:5" x14ac:dyDescent="0.45">
      <c r="A71" t="s">
        <v>70</v>
      </c>
      <c r="B71">
        <v>0.92668741941452004</v>
      </c>
      <c r="C71">
        <v>0.91557681560516302</v>
      </c>
      <c r="D71">
        <v>0.93254572199999997</v>
      </c>
      <c r="E71" t="str">
        <f t="shared" si="2"/>
        <v>T1ce+FLAIR</v>
      </c>
    </row>
    <row r="72" spans="1:5" x14ac:dyDescent="0.45">
      <c r="A72" t="s">
        <v>71</v>
      </c>
      <c r="B72" s="1">
        <v>7.7821010746603695E-10</v>
      </c>
      <c r="C72" s="1">
        <v>4.5892611932885002E-10</v>
      </c>
      <c r="D72" s="1">
        <v>9.2500000000000001E-10</v>
      </c>
      <c r="E72" t="str">
        <f t="shared" si="2"/>
        <v>T1ce+FLAIR</v>
      </c>
    </row>
    <row r="73" spans="1:5" x14ac:dyDescent="0.45">
      <c r="A73" t="s">
        <v>72</v>
      </c>
      <c r="B73">
        <v>0.51991945505142201</v>
      </c>
      <c r="C73">
        <v>0.45276597142219499</v>
      </c>
      <c r="D73">
        <v>0.51588964500000001</v>
      </c>
      <c r="E73" t="str">
        <f t="shared" si="2"/>
        <v>T1ce+FLAIR</v>
      </c>
    </row>
    <row r="74" spans="1:5" x14ac:dyDescent="0.45">
      <c r="A74" t="s">
        <v>73</v>
      </c>
      <c r="B74">
        <v>0.88196802139282204</v>
      </c>
      <c r="C74">
        <v>0.88401526212692205</v>
      </c>
      <c r="D74">
        <v>0.89085269</v>
      </c>
      <c r="E74" t="str">
        <f t="shared" si="2"/>
        <v>T2+T1ce</v>
      </c>
    </row>
    <row r="75" spans="1:5" x14ac:dyDescent="0.45">
      <c r="A75" t="s">
        <v>74</v>
      </c>
      <c r="B75">
        <v>0.88999325037002497</v>
      </c>
      <c r="C75">
        <v>0.87740379571914595</v>
      </c>
      <c r="D75">
        <v>0.873487711</v>
      </c>
      <c r="E75" t="str">
        <f t="shared" si="2"/>
        <v>T1ce+FLAIR</v>
      </c>
    </row>
    <row r="76" spans="1:5" x14ac:dyDescent="0.45">
      <c r="A76" t="s">
        <v>75</v>
      </c>
      <c r="B76">
        <v>0.89361798763275102</v>
      </c>
      <c r="C76">
        <v>0.89354604482650701</v>
      </c>
      <c r="D76">
        <v>0.90856617699999997</v>
      </c>
      <c r="E76" t="str">
        <f t="shared" si="2"/>
        <v>T1ce+FLAIR</v>
      </c>
    </row>
    <row r="77" spans="1:5" x14ac:dyDescent="0.45">
      <c r="A77" t="s">
        <v>76</v>
      </c>
      <c r="B77">
        <v>0.74694466590881303</v>
      </c>
      <c r="C77">
        <v>0.76584565639495805</v>
      </c>
      <c r="D77">
        <v>0.76273101600000004</v>
      </c>
      <c r="E77" t="str">
        <f t="shared" si="2"/>
        <v>T2+T1ce</v>
      </c>
    </row>
    <row r="78" spans="1:5" x14ac:dyDescent="0.45">
      <c r="A78" t="s">
        <v>77</v>
      </c>
      <c r="B78">
        <v>0.91611778736114502</v>
      </c>
      <c r="C78">
        <v>0.92368406057357699</v>
      </c>
      <c r="D78">
        <v>0.93381482400000004</v>
      </c>
      <c r="E78" t="str">
        <f t="shared" si="2"/>
        <v>T2+T1ce</v>
      </c>
    </row>
    <row r="79" spans="1:5" x14ac:dyDescent="0.45">
      <c r="A79" t="s">
        <v>78</v>
      </c>
      <c r="B79">
        <v>0.86338013410568204</v>
      </c>
      <c r="C79">
        <v>0.82509118318557695</v>
      </c>
      <c r="D79">
        <v>0.86564290499999996</v>
      </c>
      <c r="E79" t="str">
        <f t="shared" si="2"/>
        <v>T1ce+FLAIR</v>
      </c>
    </row>
    <row r="80" spans="1:5" x14ac:dyDescent="0.45">
      <c r="A80" t="s">
        <v>79</v>
      </c>
      <c r="B80">
        <v>0.91160112619400002</v>
      </c>
      <c r="C80">
        <v>0.88867563009261996</v>
      </c>
      <c r="D80">
        <v>0.91218513300000004</v>
      </c>
      <c r="E80" t="str">
        <f t="shared" si="2"/>
        <v>T1ce+FLAIR</v>
      </c>
    </row>
    <row r="81" spans="1:5" x14ac:dyDescent="0.45">
      <c r="A81" t="s">
        <v>80</v>
      </c>
      <c r="B81">
        <v>0.94497549533843905</v>
      </c>
      <c r="C81">
        <v>0.93956428766250599</v>
      </c>
      <c r="D81">
        <v>0.94394874600000001</v>
      </c>
      <c r="E81" t="str">
        <f t="shared" si="2"/>
        <v>T1ce+FLAIR</v>
      </c>
    </row>
    <row r="82" spans="1:5" x14ac:dyDescent="0.45">
      <c r="A82" t="s">
        <v>81</v>
      </c>
      <c r="B82">
        <v>0.91078621149063099</v>
      </c>
      <c r="C82">
        <v>0.90143489837646396</v>
      </c>
      <c r="D82">
        <v>0.91684222199999998</v>
      </c>
      <c r="E82" t="str">
        <f t="shared" si="2"/>
        <v>T1ce+FLAIR</v>
      </c>
    </row>
    <row r="83" spans="1:5" x14ac:dyDescent="0.45">
      <c r="A83" t="s">
        <v>82</v>
      </c>
      <c r="B83">
        <v>0.82331597805023105</v>
      </c>
      <c r="C83">
        <v>0.81954622268676702</v>
      </c>
      <c r="D83">
        <v>0.83290565000000005</v>
      </c>
      <c r="E83" t="str">
        <f t="shared" si="2"/>
        <v>T1ce+FLAIR</v>
      </c>
    </row>
    <row r="84" spans="1:5" x14ac:dyDescent="0.45">
      <c r="A84" t="s">
        <v>83</v>
      </c>
      <c r="B84">
        <v>0.181078150868415</v>
      </c>
      <c r="C84">
        <v>0.13374283909797599</v>
      </c>
      <c r="D84">
        <v>0.19065025399999999</v>
      </c>
      <c r="E84" t="str">
        <f t="shared" si="2"/>
        <v>T1ce+FLAIR</v>
      </c>
    </row>
    <row r="85" spans="1:5" x14ac:dyDescent="0.45">
      <c r="A85" t="s">
        <v>84</v>
      </c>
      <c r="B85">
        <v>0.84328901767730702</v>
      </c>
      <c r="C85">
        <v>0.84611892700195301</v>
      </c>
      <c r="D85">
        <v>0.85656058800000001</v>
      </c>
      <c r="E85" t="str">
        <f t="shared" si="2"/>
        <v>T2+T1ce</v>
      </c>
    </row>
    <row r="86" spans="1:5" x14ac:dyDescent="0.45">
      <c r="A86" t="s">
        <v>85</v>
      </c>
      <c r="B86">
        <v>0.663299679756164</v>
      </c>
      <c r="C86">
        <v>0.77833670377731301</v>
      </c>
      <c r="D86">
        <v>0.67286592700000003</v>
      </c>
      <c r="E86" t="str">
        <f t="shared" si="2"/>
        <v>T2+T1ce</v>
      </c>
    </row>
    <row r="87" spans="1:5" x14ac:dyDescent="0.45">
      <c r="A87" t="s">
        <v>86</v>
      </c>
      <c r="B87">
        <v>0.76559925079345703</v>
      </c>
      <c r="C87">
        <v>0.71667307615280096</v>
      </c>
      <c r="D87">
        <v>0.76002800500000001</v>
      </c>
      <c r="E87" t="str">
        <f t="shared" si="2"/>
        <v>T1ce+FLAIR</v>
      </c>
    </row>
    <row r="88" spans="1:5" x14ac:dyDescent="0.45">
      <c r="A88" t="s">
        <v>87</v>
      </c>
      <c r="B88">
        <v>0.90052229166030795</v>
      </c>
      <c r="C88">
        <v>0.90765261650085405</v>
      </c>
      <c r="D88">
        <v>0.92581319799999995</v>
      </c>
      <c r="E88" t="str">
        <f t="shared" si="2"/>
        <v>T2+T1ce</v>
      </c>
    </row>
    <row r="89" spans="1:5" x14ac:dyDescent="0.45">
      <c r="A89" t="s">
        <v>88</v>
      </c>
      <c r="B89">
        <v>0.86181449890136697</v>
      </c>
      <c r="C89">
        <v>0.88353437185287398</v>
      </c>
      <c r="D89">
        <v>0.89091867199999997</v>
      </c>
      <c r="E89" t="str">
        <f t="shared" si="2"/>
        <v>T2+T1ce</v>
      </c>
    </row>
    <row r="90" spans="1:5" x14ac:dyDescent="0.45">
      <c r="A90" t="s">
        <v>89</v>
      </c>
      <c r="B90">
        <v>0.93881630897521895</v>
      </c>
      <c r="C90">
        <v>0.93106168508529596</v>
      </c>
      <c r="D90">
        <v>0.94173610200000002</v>
      </c>
      <c r="E90" t="str">
        <f t="shared" si="2"/>
        <v>T1ce+FLAIR</v>
      </c>
    </row>
    <row r="91" spans="1:5" x14ac:dyDescent="0.45">
      <c r="A91" t="s">
        <v>90</v>
      </c>
      <c r="B91">
        <v>0.54282695055007901</v>
      </c>
      <c r="C91">
        <v>0.60833579301834095</v>
      </c>
      <c r="D91">
        <v>0.61321973799999996</v>
      </c>
      <c r="E91" t="str">
        <f t="shared" si="2"/>
        <v>T2+T1ce</v>
      </c>
    </row>
    <row r="92" spans="1:5" x14ac:dyDescent="0.45">
      <c r="A92" t="s">
        <v>91</v>
      </c>
      <c r="B92">
        <v>0.81176072359085005</v>
      </c>
      <c r="C92">
        <v>0.79847264289855902</v>
      </c>
      <c r="D92">
        <v>0.854673982</v>
      </c>
      <c r="E92" t="str">
        <f t="shared" si="2"/>
        <v>T1ce+FLAIR</v>
      </c>
    </row>
    <row r="93" spans="1:5" x14ac:dyDescent="0.45">
      <c r="A93" t="s">
        <v>92</v>
      </c>
      <c r="B93">
        <v>0.85898792743682795</v>
      </c>
      <c r="C93">
        <v>0.85257387161254805</v>
      </c>
      <c r="D93">
        <v>0.87184405300000001</v>
      </c>
      <c r="E93" t="str">
        <f t="shared" si="2"/>
        <v>T1ce+FLAIR</v>
      </c>
    </row>
    <row r="94" spans="1:5" x14ac:dyDescent="0.45">
      <c r="A94" t="s">
        <v>93</v>
      </c>
      <c r="B94">
        <v>0.85526829957962003</v>
      </c>
      <c r="C94">
        <v>0.87317919731140103</v>
      </c>
      <c r="D94">
        <v>0.88336753800000001</v>
      </c>
      <c r="E94" t="str">
        <f t="shared" si="2"/>
        <v>T2+T1ce</v>
      </c>
    </row>
    <row r="95" spans="1:5" x14ac:dyDescent="0.45">
      <c r="A95" t="s">
        <v>94</v>
      </c>
      <c r="B95">
        <v>0.91401338577270497</v>
      </c>
      <c r="C95">
        <v>0.90492308139801003</v>
      </c>
      <c r="D95">
        <v>0.91028064500000005</v>
      </c>
      <c r="E95" t="str">
        <f t="shared" si="2"/>
        <v>T1ce+FLAIR</v>
      </c>
    </row>
    <row r="96" spans="1:5" x14ac:dyDescent="0.45">
      <c r="A96" t="s">
        <v>95</v>
      </c>
      <c r="B96">
        <v>0.89974737167358398</v>
      </c>
      <c r="C96">
        <v>0.85029119253158503</v>
      </c>
      <c r="D96">
        <v>0.90109819199999996</v>
      </c>
      <c r="E96" t="str">
        <f t="shared" si="2"/>
        <v>T1ce+FLAIR</v>
      </c>
    </row>
    <row r="97" spans="1:5" x14ac:dyDescent="0.45">
      <c r="A97" t="s">
        <v>96</v>
      </c>
      <c r="B97">
        <v>0.76423037052154497</v>
      </c>
      <c r="C97">
        <v>0.75323104858398404</v>
      </c>
      <c r="D97">
        <v>0.77748388099999999</v>
      </c>
      <c r="E97" t="str">
        <f t="shared" si="2"/>
        <v>T1ce+FLAIR</v>
      </c>
    </row>
    <row r="98" spans="1:5" x14ac:dyDescent="0.45">
      <c r="A98" t="s">
        <v>97</v>
      </c>
      <c r="B98">
        <v>0.86873650550842196</v>
      </c>
      <c r="C98">
        <v>0.86471211910247803</v>
      </c>
      <c r="D98">
        <v>0.87313205000000005</v>
      </c>
      <c r="E98" t="str">
        <f t="shared" ref="E98:E129" si="3">IF(B98&gt;C98,"T1ce+FLAIR","T2+T1ce")</f>
        <v>T1ce+FLAIR</v>
      </c>
    </row>
    <row r="99" spans="1:5" x14ac:dyDescent="0.45">
      <c r="A99" t="s">
        <v>98</v>
      </c>
      <c r="B99">
        <v>0.84473437070846502</v>
      </c>
      <c r="C99">
        <v>0.83040052652358998</v>
      </c>
      <c r="D99">
        <v>0.85855841600000005</v>
      </c>
      <c r="E99" t="str">
        <f t="shared" si="3"/>
        <v>T1ce+FLAIR</v>
      </c>
    </row>
    <row r="100" spans="1:5" x14ac:dyDescent="0.45">
      <c r="A100" t="s">
        <v>99</v>
      </c>
      <c r="B100">
        <v>0.91813921928405695</v>
      </c>
      <c r="C100">
        <v>0.91901534795761097</v>
      </c>
      <c r="D100">
        <v>0.92279273299999998</v>
      </c>
      <c r="E100" t="str">
        <f t="shared" si="3"/>
        <v>T2+T1ce</v>
      </c>
    </row>
    <row r="101" spans="1:5" x14ac:dyDescent="0.45">
      <c r="A101" t="s">
        <v>100</v>
      </c>
      <c r="B101">
        <v>0.92798358201980502</v>
      </c>
      <c r="C101">
        <v>0.91764789819717396</v>
      </c>
      <c r="D101">
        <v>0.92991191100000004</v>
      </c>
      <c r="E101" t="str">
        <f t="shared" si="3"/>
        <v>T1ce+FLAIR</v>
      </c>
    </row>
    <row r="102" spans="1:5" x14ac:dyDescent="0.45">
      <c r="A102" t="s">
        <v>101</v>
      </c>
      <c r="B102">
        <v>0.91975802183151201</v>
      </c>
      <c r="C102">
        <v>0.92065662145614602</v>
      </c>
      <c r="D102">
        <v>0.92044812399999998</v>
      </c>
      <c r="E102" t="str">
        <f t="shared" si="3"/>
        <v>T2+T1ce</v>
      </c>
    </row>
    <row r="103" spans="1:5" x14ac:dyDescent="0.45">
      <c r="A103" t="s">
        <v>102</v>
      </c>
      <c r="B103">
        <v>0.92444157600402799</v>
      </c>
      <c r="C103">
        <v>0.90236681699752797</v>
      </c>
      <c r="D103">
        <v>0.92571908199999997</v>
      </c>
      <c r="E103" t="str">
        <f t="shared" si="3"/>
        <v>T1ce+FLAIR</v>
      </c>
    </row>
    <row r="104" spans="1:5" x14ac:dyDescent="0.45">
      <c r="A104" t="s">
        <v>103</v>
      </c>
      <c r="B104">
        <v>0.90640294551849299</v>
      </c>
      <c r="C104">
        <v>0.90746134519577004</v>
      </c>
      <c r="D104">
        <v>0.91359478199999999</v>
      </c>
      <c r="E104" t="str">
        <f t="shared" si="3"/>
        <v>T2+T1ce</v>
      </c>
    </row>
    <row r="105" spans="1:5" x14ac:dyDescent="0.45">
      <c r="A105" t="s">
        <v>104</v>
      </c>
      <c r="B105">
        <v>0.64604812860488803</v>
      </c>
      <c r="C105" s="1">
        <v>9.1743119767784199E-9</v>
      </c>
      <c r="D105">
        <v>0.71823203599999996</v>
      </c>
      <c r="E105" t="str">
        <f t="shared" si="3"/>
        <v>T1ce+FLAIR</v>
      </c>
    </row>
    <row r="106" spans="1:5" x14ac:dyDescent="0.45">
      <c r="A106" t="s">
        <v>105</v>
      </c>
      <c r="B106">
        <v>0.90992259979248002</v>
      </c>
      <c r="C106">
        <v>0.90058320760726895</v>
      </c>
      <c r="D106">
        <v>0.91212809100000003</v>
      </c>
      <c r="E106" t="str">
        <f t="shared" si="3"/>
        <v>T1ce+FLAIR</v>
      </c>
    </row>
    <row r="107" spans="1:5" x14ac:dyDescent="0.45">
      <c r="A107" t="s">
        <v>106</v>
      </c>
      <c r="B107">
        <v>0.84283512830734197</v>
      </c>
      <c r="C107" s="1">
        <v>1.6666666935449801E-9</v>
      </c>
      <c r="D107">
        <v>0.80744189</v>
      </c>
      <c r="E107" t="str">
        <f t="shared" si="3"/>
        <v>T1ce+FLAIR</v>
      </c>
    </row>
    <row r="108" spans="1:5" x14ac:dyDescent="0.45">
      <c r="A108" t="s">
        <v>107</v>
      </c>
      <c r="B108">
        <v>0.77932959794998102</v>
      </c>
      <c r="C108">
        <v>0.76731300354003895</v>
      </c>
      <c r="D108">
        <v>0.77783131599999999</v>
      </c>
      <c r="E108" t="str">
        <f t="shared" si="3"/>
        <v>T1ce+FLAIR</v>
      </c>
    </row>
    <row r="109" spans="1:5" x14ac:dyDescent="0.45">
      <c r="A109" t="s">
        <v>108</v>
      </c>
      <c r="B109">
        <v>0.93383437395095803</v>
      </c>
      <c r="C109">
        <v>0.91342699527740401</v>
      </c>
      <c r="D109">
        <v>0.93377006100000004</v>
      </c>
      <c r="E109" t="str">
        <f t="shared" si="3"/>
        <v>T1ce+FLAIR</v>
      </c>
    </row>
    <row r="110" spans="1:5" x14ac:dyDescent="0.45">
      <c r="A110" t="s">
        <v>109</v>
      </c>
      <c r="B110">
        <v>0.89706349372863703</v>
      </c>
      <c r="C110">
        <v>0.85338103771209695</v>
      </c>
      <c r="D110">
        <v>0.89185077000000001</v>
      </c>
      <c r="E110" t="str">
        <f t="shared" si="3"/>
        <v>T1ce+FLAIR</v>
      </c>
    </row>
    <row r="111" spans="1:5" x14ac:dyDescent="0.45">
      <c r="A111" t="s">
        <v>110</v>
      </c>
      <c r="B111">
        <v>0.81423747539520197</v>
      </c>
      <c r="C111">
        <v>0.81111085414886397</v>
      </c>
      <c r="D111">
        <v>0.83305436399999999</v>
      </c>
      <c r="E111" t="str">
        <f t="shared" si="3"/>
        <v>T1ce+FLAIR</v>
      </c>
    </row>
    <row r="112" spans="1:5" x14ac:dyDescent="0.45">
      <c r="A112" t="s">
        <v>111</v>
      </c>
      <c r="B112">
        <v>0.154676258563995</v>
      </c>
      <c r="C112">
        <v>0.10940919071435901</v>
      </c>
      <c r="D112">
        <v>0.135306552</v>
      </c>
      <c r="E112" t="str">
        <f t="shared" si="3"/>
        <v>T1ce+FLAIR</v>
      </c>
    </row>
    <row r="113" spans="1:5" x14ac:dyDescent="0.45">
      <c r="A113" t="s">
        <v>112</v>
      </c>
      <c r="B113">
        <v>0.94897806644439697</v>
      </c>
      <c r="C113">
        <v>0.949754178524017</v>
      </c>
      <c r="D113">
        <v>0.95353657000000003</v>
      </c>
      <c r="E113" t="str">
        <f t="shared" si="3"/>
        <v>T2+T1ce</v>
      </c>
    </row>
    <row r="114" spans="1:5" x14ac:dyDescent="0.45">
      <c r="A114" t="s">
        <v>113</v>
      </c>
      <c r="B114">
        <v>0.91409653425216597</v>
      </c>
      <c r="C114">
        <v>0.91668117046356201</v>
      </c>
      <c r="D114">
        <v>0.91713106600000005</v>
      </c>
      <c r="E114" t="str">
        <f t="shared" si="3"/>
        <v>T2+T1ce</v>
      </c>
    </row>
    <row r="115" spans="1:5" x14ac:dyDescent="0.45">
      <c r="A115" t="s">
        <v>114</v>
      </c>
      <c r="B115">
        <v>0.90590071678161599</v>
      </c>
      <c r="C115">
        <v>0.87590599060058505</v>
      </c>
      <c r="D115">
        <v>0.91306900999999996</v>
      </c>
      <c r="E115" t="str">
        <f t="shared" si="3"/>
        <v>T1ce+FLAIR</v>
      </c>
    </row>
    <row r="116" spans="1:5" x14ac:dyDescent="0.45">
      <c r="A116" t="s">
        <v>115</v>
      </c>
      <c r="B116">
        <v>0.91627264022827104</v>
      </c>
      <c r="C116">
        <v>0.91136324405670099</v>
      </c>
      <c r="D116">
        <v>0.91896808100000005</v>
      </c>
      <c r="E116" t="str">
        <f t="shared" si="3"/>
        <v>T1ce+FLAIR</v>
      </c>
    </row>
    <row r="117" spans="1:5" x14ac:dyDescent="0.45">
      <c r="A117" t="s">
        <v>116</v>
      </c>
      <c r="B117">
        <v>0.71310126781463601</v>
      </c>
      <c r="C117">
        <v>0.71757894754409701</v>
      </c>
      <c r="D117">
        <v>0.72463977300000004</v>
      </c>
      <c r="E117" t="str">
        <f t="shared" si="3"/>
        <v>T2+T1ce</v>
      </c>
    </row>
    <row r="118" spans="1:5" x14ac:dyDescent="0.45">
      <c r="A118" t="s">
        <v>117</v>
      </c>
      <c r="B118">
        <v>0.90022498369216897</v>
      </c>
      <c r="C118">
        <v>0.88722211122512795</v>
      </c>
      <c r="D118">
        <v>0.90546375499999998</v>
      </c>
      <c r="E118" t="str">
        <f t="shared" si="3"/>
        <v>T1ce+FLAIR</v>
      </c>
    </row>
    <row r="119" spans="1:5" x14ac:dyDescent="0.45">
      <c r="A119" t="s">
        <v>118</v>
      </c>
      <c r="B119">
        <v>0.84712839126586903</v>
      </c>
      <c r="C119">
        <v>0.86040383577346802</v>
      </c>
      <c r="D119">
        <v>0.86815142599999995</v>
      </c>
      <c r="E119" t="str">
        <f t="shared" si="3"/>
        <v>T2+T1ce</v>
      </c>
    </row>
    <row r="120" spans="1:5" x14ac:dyDescent="0.45">
      <c r="A120" t="s">
        <v>119</v>
      </c>
      <c r="B120">
        <v>0.93828415870666504</v>
      </c>
      <c r="C120">
        <v>0.93104046583175604</v>
      </c>
      <c r="D120">
        <v>0.93425643400000002</v>
      </c>
      <c r="E120" t="str">
        <f t="shared" si="3"/>
        <v>T1ce+FLAIR</v>
      </c>
    </row>
    <row r="121" spans="1:5" x14ac:dyDescent="0.45">
      <c r="A121" t="s">
        <v>120</v>
      </c>
      <c r="B121">
        <v>0.87611341476440396</v>
      </c>
      <c r="C121">
        <v>0.86798870563507002</v>
      </c>
      <c r="D121">
        <v>0.88436710799999996</v>
      </c>
      <c r="E121" t="str">
        <f t="shared" si="3"/>
        <v>T1ce+FLAIR</v>
      </c>
    </row>
    <row r="122" spans="1:5" x14ac:dyDescent="0.45">
      <c r="A122" t="s">
        <v>121</v>
      </c>
      <c r="B122">
        <v>0.93109369277954102</v>
      </c>
      <c r="C122">
        <v>0.91111111640930098</v>
      </c>
      <c r="D122">
        <v>0.93038248999999995</v>
      </c>
      <c r="E122" t="str">
        <f t="shared" si="3"/>
        <v>T1ce+FLAIR</v>
      </c>
    </row>
    <row r="123" spans="1:5" x14ac:dyDescent="0.45">
      <c r="A123" t="s">
        <v>122</v>
      </c>
      <c r="B123">
        <v>0.90588003396987904</v>
      </c>
      <c r="C123">
        <v>0.91443634033203103</v>
      </c>
      <c r="D123">
        <v>0.92299753399999995</v>
      </c>
      <c r="E123" t="str">
        <f t="shared" si="3"/>
        <v>T2+T1ce</v>
      </c>
    </row>
    <row r="124" spans="1:5" x14ac:dyDescent="0.45">
      <c r="A124" t="s">
        <v>123</v>
      </c>
      <c r="B124">
        <v>0.856220602989196</v>
      </c>
      <c r="C124">
        <v>0.85234659910202004</v>
      </c>
      <c r="D124">
        <v>0.87256240799999996</v>
      </c>
      <c r="E124" t="str">
        <f t="shared" si="3"/>
        <v>T1ce+FLAIR</v>
      </c>
    </row>
    <row r="125" spans="1:5" x14ac:dyDescent="0.45">
      <c r="A125" t="s">
        <v>124</v>
      </c>
      <c r="B125">
        <v>0.80885952711105302</v>
      </c>
      <c r="C125">
        <v>0.83157509565353305</v>
      </c>
      <c r="D125">
        <v>0.80893272199999999</v>
      </c>
      <c r="E125" t="str">
        <f t="shared" si="3"/>
        <v>T2+T1ce</v>
      </c>
    </row>
    <row r="126" spans="1:5" x14ac:dyDescent="0.45">
      <c r="A126" t="s">
        <v>125</v>
      </c>
      <c r="B126">
        <v>0.63886624574661199</v>
      </c>
      <c r="C126">
        <v>0.62448269128799405</v>
      </c>
      <c r="D126">
        <v>0.67684560999999999</v>
      </c>
      <c r="E126" t="str">
        <f t="shared" si="3"/>
        <v>T1ce+FLAIR</v>
      </c>
    </row>
    <row r="127" spans="1:5" x14ac:dyDescent="0.45">
      <c r="A127" t="s">
        <v>126</v>
      </c>
      <c r="B127">
        <v>0.91795384883880604</v>
      </c>
      <c r="C127">
        <v>0.90463888645172097</v>
      </c>
      <c r="D127">
        <v>0.92193132600000005</v>
      </c>
      <c r="E127" t="str">
        <f t="shared" si="3"/>
        <v>T1ce+FLAIR</v>
      </c>
    </row>
    <row r="128" spans="1:5" x14ac:dyDescent="0.45">
      <c r="A128" t="s">
        <v>127</v>
      </c>
      <c r="B128">
        <v>0.93667364120483398</v>
      </c>
      <c r="C128">
        <v>0.92766541242599398</v>
      </c>
      <c r="D128">
        <v>0.92798280700000002</v>
      </c>
      <c r="E128" t="str">
        <f t="shared" si="3"/>
        <v>T1ce+FLAIR</v>
      </c>
    </row>
    <row r="129" spans="1:5" x14ac:dyDescent="0.45">
      <c r="A129" t="s">
        <v>128</v>
      </c>
      <c r="B129">
        <v>0.92299759387969904</v>
      </c>
      <c r="C129">
        <v>0.91628015041351296</v>
      </c>
      <c r="D129">
        <v>0.92676395199999995</v>
      </c>
      <c r="E129" t="str">
        <f t="shared" si="3"/>
        <v>T1ce+FLAIR</v>
      </c>
    </row>
    <row r="130" spans="1:5" x14ac:dyDescent="0.45">
      <c r="A130" t="s">
        <v>129</v>
      </c>
      <c r="B130">
        <v>0.92052286863327004</v>
      </c>
      <c r="C130">
        <v>0.90268838405609098</v>
      </c>
      <c r="D130">
        <v>0.91924744800000002</v>
      </c>
      <c r="E130" t="str">
        <f t="shared" ref="E130:E161" si="4">IF(B130&gt;C130,"T1ce+FLAIR","T2+T1ce")</f>
        <v>T1ce+FLAIR</v>
      </c>
    </row>
    <row r="131" spans="1:5" x14ac:dyDescent="0.45">
      <c r="A131" t="s">
        <v>130</v>
      </c>
      <c r="B131">
        <v>0.95439881086349398</v>
      </c>
      <c r="C131">
        <v>0.95625525712966897</v>
      </c>
      <c r="D131">
        <v>0.953796804</v>
      </c>
      <c r="E131" t="str">
        <f t="shared" si="4"/>
        <v>T2+T1ce</v>
      </c>
    </row>
    <row r="132" spans="1:5" x14ac:dyDescent="0.45">
      <c r="A132" t="s">
        <v>131</v>
      </c>
      <c r="B132">
        <v>0.85798144340515103</v>
      </c>
      <c r="C132">
        <v>0.852453112602233</v>
      </c>
      <c r="D132">
        <v>0.86825853600000003</v>
      </c>
      <c r="E132" t="str">
        <f t="shared" si="4"/>
        <v>T1ce+FLAIR</v>
      </c>
    </row>
    <row r="133" spans="1:5" x14ac:dyDescent="0.45">
      <c r="A133" t="s">
        <v>132</v>
      </c>
      <c r="B133">
        <v>0.75822520256042403</v>
      </c>
      <c r="C133">
        <v>0.75430560111999501</v>
      </c>
      <c r="D133">
        <v>0.78298407800000003</v>
      </c>
      <c r="E133" t="str">
        <f t="shared" si="4"/>
        <v>T1ce+FLAIR</v>
      </c>
    </row>
    <row r="134" spans="1:5" x14ac:dyDescent="0.45">
      <c r="A134" t="s">
        <v>133</v>
      </c>
      <c r="B134">
        <v>0.81302523612975997</v>
      </c>
      <c r="C134">
        <v>0.83335644006729104</v>
      </c>
      <c r="D134">
        <v>0.84465479899999996</v>
      </c>
      <c r="E134" t="str">
        <f t="shared" si="4"/>
        <v>T2+T1ce</v>
      </c>
    </row>
    <row r="135" spans="1:5" x14ac:dyDescent="0.45">
      <c r="A135" t="s">
        <v>134</v>
      </c>
      <c r="B135">
        <v>0.9102783203125</v>
      </c>
      <c r="C135">
        <v>0.89900553226470903</v>
      </c>
      <c r="D135">
        <v>0.91273480699999998</v>
      </c>
      <c r="E135" t="str">
        <f t="shared" si="4"/>
        <v>T1ce+FLAIR</v>
      </c>
    </row>
    <row r="136" spans="1:5" x14ac:dyDescent="0.45">
      <c r="A136" t="s">
        <v>135</v>
      </c>
      <c r="B136">
        <v>0.87772363424301103</v>
      </c>
      <c r="C136">
        <v>0.88271731138229304</v>
      </c>
      <c r="D136">
        <v>0.88365995900000005</v>
      </c>
      <c r="E136" t="str">
        <f t="shared" si="4"/>
        <v>T2+T1ce</v>
      </c>
    </row>
    <row r="137" spans="1:5" x14ac:dyDescent="0.45">
      <c r="A137" t="s">
        <v>136</v>
      </c>
      <c r="B137">
        <v>0.89580142498016302</v>
      </c>
      <c r="C137">
        <v>0.87124335765838601</v>
      </c>
      <c r="D137">
        <v>0.90241998400000001</v>
      </c>
      <c r="E137" t="str">
        <f t="shared" si="4"/>
        <v>T1ce+FLAIR</v>
      </c>
    </row>
    <row r="138" spans="1:5" x14ac:dyDescent="0.45">
      <c r="A138" t="s">
        <v>137</v>
      </c>
      <c r="B138">
        <v>0.87762230634689298</v>
      </c>
      <c r="C138">
        <v>0.86618727445602395</v>
      </c>
      <c r="D138">
        <v>0.89030379100000001</v>
      </c>
      <c r="E138" t="str">
        <f t="shared" si="4"/>
        <v>T1ce+FLAIR</v>
      </c>
    </row>
    <row r="139" spans="1:5" x14ac:dyDescent="0.45">
      <c r="A139" t="s">
        <v>138</v>
      </c>
      <c r="B139">
        <v>0.90414100885391202</v>
      </c>
      <c r="C139">
        <v>0.90191388130187899</v>
      </c>
      <c r="D139">
        <v>0.90516418200000004</v>
      </c>
      <c r="E139" t="str">
        <f t="shared" si="4"/>
        <v>T1ce+FLAIR</v>
      </c>
    </row>
    <row r="140" spans="1:5" x14ac:dyDescent="0.45">
      <c r="A140" t="s">
        <v>139</v>
      </c>
      <c r="B140">
        <v>0.94616013765335005</v>
      </c>
      <c r="C140">
        <v>0.92401349544525102</v>
      </c>
      <c r="D140">
        <v>0.95005852000000002</v>
      </c>
      <c r="E140" t="str">
        <f t="shared" si="4"/>
        <v>T1ce+FLAIR</v>
      </c>
    </row>
    <row r="141" spans="1:5" x14ac:dyDescent="0.45">
      <c r="A141" t="s">
        <v>140</v>
      </c>
      <c r="B141">
        <v>0.712835252285003</v>
      </c>
      <c r="C141">
        <v>0.68767011165618896</v>
      </c>
      <c r="D141">
        <v>0.726112902</v>
      </c>
      <c r="E141" t="str">
        <f t="shared" si="4"/>
        <v>T1ce+FLAIR</v>
      </c>
    </row>
    <row r="142" spans="1:5" x14ac:dyDescent="0.45">
      <c r="A142" t="s">
        <v>141</v>
      </c>
      <c r="B142">
        <v>0.91975933313369695</v>
      </c>
      <c r="C142">
        <v>0.92544192075729304</v>
      </c>
      <c r="D142">
        <v>0.93222731400000003</v>
      </c>
      <c r="E142" t="str">
        <f t="shared" si="4"/>
        <v>T2+T1ce</v>
      </c>
    </row>
    <row r="143" spans="1:5" x14ac:dyDescent="0.45">
      <c r="A143" t="s">
        <v>142</v>
      </c>
      <c r="B143">
        <v>0.92270380258560103</v>
      </c>
      <c r="C143">
        <v>0.91746264696121205</v>
      </c>
      <c r="D143">
        <v>0.92942327300000005</v>
      </c>
      <c r="E143" t="str">
        <f t="shared" si="4"/>
        <v>T1ce+FLAIR</v>
      </c>
    </row>
    <row r="144" spans="1:5" x14ac:dyDescent="0.45">
      <c r="A144" t="s">
        <v>143</v>
      </c>
      <c r="B144">
        <v>0.93638634681701605</v>
      </c>
      <c r="C144">
        <v>0.95035886764526301</v>
      </c>
      <c r="D144">
        <v>0.95009434199999998</v>
      </c>
      <c r="E144" t="str">
        <f t="shared" si="4"/>
        <v>T2+T1ce</v>
      </c>
    </row>
    <row r="145" spans="1:5" x14ac:dyDescent="0.45">
      <c r="A145" t="s">
        <v>144</v>
      </c>
      <c r="B145">
        <v>0.84178638458251898</v>
      </c>
      <c r="C145">
        <v>0.83262640237808205</v>
      </c>
      <c r="D145">
        <v>0.84796011400000004</v>
      </c>
      <c r="E145" t="str">
        <f t="shared" si="4"/>
        <v>T1ce+FLAIR</v>
      </c>
    </row>
    <row r="146" spans="1:5" x14ac:dyDescent="0.45">
      <c r="A146" t="s">
        <v>145</v>
      </c>
      <c r="B146">
        <v>0.95708173513412398</v>
      </c>
      <c r="C146">
        <v>0.94879758358001698</v>
      </c>
      <c r="D146">
        <v>0.95341974500000004</v>
      </c>
      <c r="E146" t="str">
        <f t="shared" si="4"/>
        <v>T1ce+FLAIR</v>
      </c>
    </row>
    <row r="147" spans="1:5" x14ac:dyDescent="0.45">
      <c r="A147" t="s">
        <v>146</v>
      </c>
      <c r="B147">
        <v>0.81000441312789895</v>
      </c>
      <c r="C147">
        <v>0.79794692993163996</v>
      </c>
      <c r="D147">
        <v>0.82368880499999997</v>
      </c>
      <c r="E147" t="str">
        <f t="shared" si="4"/>
        <v>T1ce+FLAIR</v>
      </c>
    </row>
    <row r="148" spans="1:5" x14ac:dyDescent="0.45">
      <c r="A148" t="s">
        <v>147</v>
      </c>
      <c r="B148">
        <v>0.87534260749816895</v>
      </c>
      <c r="C148">
        <v>0.86083239316940297</v>
      </c>
      <c r="D148">
        <v>0.87649708999999998</v>
      </c>
      <c r="E148" t="str">
        <f t="shared" si="4"/>
        <v>T1ce+FLAIR</v>
      </c>
    </row>
    <row r="149" spans="1:5" x14ac:dyDescent="0.45">
      <c r="A149" t="s">
        <v>148</v>
      </c>
      <c r="B149">
        <v>0.90813905000686601</v>
      </c>
      <c r="C149">
        <v>0.90105801820755005</v>
      </c>
      <c r="D149">
        <v>0.91529262099999997</v>
      </c>
      <c r="E149" t="str">
        <f t="shared" si="4"/>
        <v>T1ce+FLAIR</v>
      </c>
    </row>
    <row r="150" spans="1:5" x14ac:dyDescent="0.45">
      <c r="A150" t="s">
        <v>149</v>
      </c>
      <c r="B150">
        <v>0.85843372344970703</v>
      </c>
      <c r="C150">
        <v>0.83187562227249101</v>
      </c>
      <c r="D150">
        <v>0.86040478899999995</v>
      </c>
      <c r="E150" t="str">
        <f t="shared" si="4"/>
        <v>T1ce+FLAIR</v>
      </c>
    </row>
    <row r="151" spans="1:5" x14ac:dyDescent="0.45">
      <c r="A151" t="s">
        <v>150</v>
      </c>
      <c r="B151">
        <v>0.91537952423095703</v>
      </c>
      <c r="C151">
        <v>0.90030038356780995</v>
      </c>
      <c r="D151">
        <v>0.91107368499999997</v>
      </c>
      <c r="E151" t="str">
        <f t="shared" si="4"/>
        <v>T1ce+FLAIR</v>
      </c>
    </row>
    <row r="152" spans="1:5" x14ac:dyDescent="0.45">
      <c r="A152" t="s">
        <v>151</v>
      </c>
      <c r="B152">
        <v>0.94297206401824896</v>
      </c>
      <c r="C152">
        <v>0.913130283355712</v>
      </c>
      <c r="D152">
        <v>0.92511731399999997</v>
      </c>
      <c r="E152" t="str">
        <f t="shared" si="4"/>
        <v>T1ce+FLAIR</v>
      </c>
    </row>
    <row r="153" spans="1:5" x14ac:dyDescent="0.45">
      <c r="A153" t="s">
        <v>152</v>
      </c>
      <c r="B153">
        <v>0.89404261112213101</v>
      </c>
      <c r="C153">
        <v>0.8962984085083</v>
      </c>
      <c r="D153">
        <v>0.89978325400000003</v>
      </c>
      <c r="E153" t="str">
        <f t="shared" si="4"/>
        <v>T2+T1ce</v>
      </c>
    </row>
    <row r="154" spans="1:5" x14ac:dyDescent="0.45">
      <c r="A154" t="s">
        <v>153</v>
      </c>
      <c r="B154">
        <v>0.92182314395904497</v>
      </c>
      <c r="C154">
        <v>0.91539525985717696</v>
      </c>
      <c r="D154">
        <v>0.919058979</v>
      </c>
      <c r="E154" t="str">
        <f t="shared" si="4"/>
        <v>T1ce+FLAIR</v>
      </c>
    </row>
    <row r="155" spans="1:5" x14ac:dyDescent="0.45">
      <c r="A155" t="s">
        <v>154</v>
      </c>
      <c r="B155">
        <v>0.89855635166168202</v>
      </c>
      <c r="C155">
        <v>0.88081598281860296</v>
      </c>
      <c r="D155">
        <v>0.90397077800000003</v>
      </c>
      <c r="E155" t="str">
        <f t="shared" si="4"/>
        <v>T1ce+FLAIR</v>
      </c>
    </row>
    <row r="156" spans="1:5" x14ac:dyDescent="0.45">
      <c r="A156" t="s">
        <v>155</v>
      </c>
      <c r="B156">
        <v>0.85382497310638406</v>
      </c>
      <c r="C156">
        <v>0.84834903478622403</v>
      </c>
      <c r="D156">
        <v>0.84297734499999999</v>
      </c>
      <c r="E156" t="str">
        <f t="shared" si="4"/>
        <v>T1ce+FLAIR</v>
      </c>
    </row>
    <row r="157" spans="1:5" x14ac:dyDescent="0.45">
      <c r="A157" t="s">
        <v>156</v>
      </c>
      <c r="B157">
        <v>0.86343139410018899</v>
      </c>
      <c r="C157">
        <v>0.83026635646820002</v>
      </c>
      <c r="D157">
        <v>0.866996408</v>
      </c>
      <c r="E157" t="str">
        <f t="shared" si="4"/>
        <v>T1ce+FLAIR</v>
      </c>
    </row>
    <row r="158" spans="1:5" x14ac:dyDescent="0.45">
      <c r="A158" t="s">
        <v>157</v>
      </c>
      <c r="B158" s="1">
        <v>2.82485879132821E-9</v>
      </c>
      <c r="C158" s="1">
        <v>2.8571427890256002E-8</v>
      </c>
      <c r="D158" s="1">
        <v>9.3499999999999994E-9</v>
      </c>
      <c r="E158" t="str">
        <f t="shared" si="4"/>
        <v>T2+T1ce</v>
      </c>
    </row>
    <row r="159" spans="1:5" x14ac:dyDescent="0.45">
      <c r="A159" t="s">
        <v>158</v>
      </c>
      <c r="B159">
        <v>0.91957908868789595</v>
      </c>
      <c r="C159">
        <v>0.89952945709228505</v>
      </c>
      <c r="D159">
        <v>0.90142440800000001</v>
      </c>
      <c r="E159" t="str">
        <f t="shared" si="4"/>
        <v>T1ce+FLAIR</v>
      </c>
    </row>
    <row r="160" spans="1:5" x14ac:dyDescent="0.45">
      <c r="A160" t="s">
        <v>159</v>
      </c>
      <c r="B160">
        <v>2.7032734826207098E-2</v>
      </c>
      <c r="C160">
        <v>3.57362926006317E-2</v>
      </c>
      <c r="D160">
        <v>4.1644420000000001E-2</v>
      </c>
      <c r="E160" t="str">
        <f t="shared" si="4"/>
        <v>T2+T1ce</v>
      </c>
    </row>
    <row r="161" spans="1:5" x14ac:dyDescent="0.45">
      <c r="A161" t="s">
        <v>160</v>
      </c>
      <c r="B161">
        <v>0.84844422340393</v>
      </c>
      <c r="C161">
        <v>0.886860191822052</v>
      </c>
      <c r="D161">
        <v>0.87955546399999995</v>
      </c>
      <c r="E161" t="str">
        <f t="shared" si="4"/>
        <v>T2+T1ce</v>
      </c>
    </row>
    <row r="162" spans="1:5" x14ac:dyDescent="0.45">
      <c r="A162" t="s">
        <v>161</v>
      </c>
      <c r="B162">
        <v>0.77591121196746804</v>
      </c>
      <c r="C162">
        <v>0.79351896047592096</v>
      </c>
      <c r="D162">
        <v>0.80664932700000003</v>
      </c>
      <c r="E162" t="str">
        <f t="shared" ref="E162:E189" si="5">IF(B162&gt;C162,"T1ce+FLAIR","T2+T1ce")</f>
        <v>T2+T1ce</v>
      </c>
    </row>
    <row r="163" spans="1:5" x14ac:dyDescent="0.45">
      <c r="A163" t="s">
        <v>162</v>
      </c>
      <c r="B163">
        <v>0.86655360460281305</v>
      </c>
      <c r="C163">
        <v>0.85189616680145197</v>
      </c>
      <c r="D163">
        <v>0.86907845699999997</v>
      </c>
      <c r="E163" t="str">
        <f t="shared" si="5"/>
        <v>T1ce+FLAIR</v>
      </c>
    </row>
    <row r="164" spans="1:5" x14ac:dyDescent="0.45">
      <c r="A164" t="s">
        <v>163</v>
      </c>
      <c r="B164">
        <v>0.85952436923980702</v>
      </c>
      <c r="C164">
        <v>0.83892446756362904</v>
      </c>
      <c r="D164">
        <v>0.84519887000000005</v>
      </c>
      <c r="E164" t="str">
        <f t="shared" si="5"/>
        <v>T1ce+FLAIR</v>
      </c>
    </row>
    <row r="165" spans="1:5" x14ac:dyDescent="0.45">
      <c r="A165" t="s">
        <v>164</v>
      </c>
      <c r="B165">
        <v>0.86024653911590498</v>
      </c>
      <c r="C165">
        <v>0.84143316745758001</v>
      </c>
      <c r="D165">
        <v>0.85420942300000002</v>
      </c>
      <c r="E165" t="str">
        <f t="shared" si="5"/>
        <v>T1ce+FLAIR</v>
      </c>
    </row>
    <row r="166" spans="1:5" x14ac:dyDescent="0.45">
      <c r="A166" t="s">
        <v>165</v>
      </c>
      <c r="B166">
        <v>0.72612041234970004</v>
      </c>
      <c r="C166">
        <v>0.77490955591201705</v>
      </c>
      <c r="D166">
        <v>0.78723406799999995</v>
      </c>
      <c r="E166" t="str">
        <f t="shared" si="5"/>
        <v>T2+T1ce</v>
      </c>
    </row>
    <row r="167" spans="1:5" x14ac:dyDescent="0.45">
      <c r="A167" t="s">
        <v>166</v>
      </c>
      <c r="B167">
        <v>0.774122834205627</v>
      </c>
      <c r="C167">
        <v>0.77075314521789495</v>
      </c>
      <c r="D167">
        <v>0.81046509700000002</v>
      </c>
      <c r="E167" t="str">
        <f t="shared" si="5"/>
        <v>T1ce+FLAIR</v>
      </c>
    </row>
    <row r="168" spans="1:5" x14ac:dyDescent="0.45">
      <c r="A168" t="s">
        <v>167</v>
      </c>
      <c r="B168">
        <v>0.90453255176544101</v>
      </c>
      <c r="C168">
        <v>0.90462046861648504</v>
      </c>
      <c r="D168">
        <v>0.91198056900000002</v>
      </c>
      <c r="E168" t="str">
        <f t="shared" si="5"/>
        <v>T2+T1ce</v>
      </c>
    </row>
    <row r="169" spans="1:5" x14ac:dyDescent="0.45">
      <c r="A169" t="s">
        <v>168</v>
      </c>
      <c r="B169">
        <v>0.78564488887786799</v>
      </c>
      <c r="C169">
        <v>0.79729646444320601</v>
      </c>
      <c r="D169">
        <v>0.79458725500000005</v>
      </c>
      <c r="E169" t="str">
        <f t="shared" si="5"/>
        <v>T2+T1ce</v>
      </c>
    </row>
    <row r="170" spans="1:5" x14ac:dyDescent="0.45">
      <c r="A170" t="s">
        <v>169</v>
      </c>
      <c r="B170">
        <v>0.41522029042243902</v>
      </c>
      <c r="C170">
        <v>0.44290122389793302</v>
      </c>
      <c r="D170">
        <v>0.45950412800000001</v>
      </c>
      <c r="E170" t="str">
        <f t="shared" si="5"/>
        <v>T2+T1ce</v>
      </c>
    </row>
    <row r="171" spans="1:5" x14ac:dyDescent="0.45">
      <c r="A171" t="s">
        <v>170</v>
      </c>
      <c r="B171">
        <v>0.85538196563720703</v>
      </c>
      <c r="C171">
        <v>0.84023541212081898</v>
      </c>
      <c r="D171">
        <v>0.867339313</v>
      </c>
      <c r="E171" t="str">
        <f t="shared" si="5"/>
        <v>T1ce+FLAIR</v>
      </c>
    </row>
    <row r="172" spans="1:5" x14ac:dyDescent="0.45">
      <c r="A172" t="s">
        <v>171</v>
      </c>
      <c r="B172">
        <v>0.88650608062744096</v>
      </c>
      <c r="C172">
        <v>0.86582362651824896</v>
      </c>
      <c r="D172">
        <v>0.87982249300000004</v>
      </c>
      <c r="E172" t="str">
        <f t="shared" si="5"/>
        <v>T1ce+FLAIR</v>
      </c>
    </row>
    <row r="173" spans="1:5" x14ac:dyDescent="0.45">
      <c r="A173" t="s">
        <v>172</v>
      </c>
      <c r="B173">
        <v>0.87007796764373702</v>
      </c>
      <c r="C173">
        <v>0.85982960462570102</v>
      </c>
      <c r="D173">
        <v>0.87015891099999998</v>
      </c>
      <c r="E173" t="str">
        <f t="shared" si="5"/>
        <v>T1ce+FLAIR</v>
      </c>
    </row>
    <row r="174" spans="1:5" x14ac:dyDescent="0.45">
      <c r="A174" t="s">
        <v>173</v>
      </c>
      <c r="B174">
        <v>0.934134840965271</v>
      </c>
      <c r="C174">
        <v>0.92997509241104104</v>
      </c>
      <c r="D174">
        <v>0.93567895899999998</v>
      </c>
      <c r="E174" t="str">
        <f t="shared" si="5"/>
        <v>T1ce+FLAIR</v>
      </c>
    </row>
    <row r="175" spans="1:5" x14ac:dyDescent="0.45">
      <c r="A175" t="s">
        <v>174</v>
      </c>
      <c r="B175">
        <v>0.82196635007858199</v>
      </c>
      <c r="C175">
        <v>0.79658120870590199</v>
      </c>
      <c r="D175">
        <v>0.83032488800000004</v>
      </c>
      <c r="E175" t="str">
        <f t="shared" si="5"/>
        <v>T1ce+FLAIR</v>
      </c>
    </row>
    <row r="176" spans="1:5" x14ac:dyDescent="0.45">
      <c r="A176" t="s">
        <v>175</v>
      </c>
      <c r="B176">
        <v>0.95128703117370605</v>
      </c>
      <c r="C176">
        <v>0.93962657451629605</v>
      </c>
      <c r="D176">
        <v>0.93846678699999997</v>
      </c>
      <c r="E176" t="str">
        <f t="shared" si="5"/>
        <v>T1ce+FLAIR</v>
      </c>
    </row>
    <row r="177" spans="1:5" x14ac:dyDescent="0.45">
      <c r="A177" t="s">
        <v>176</v>
      </c>
      <c r="B177">
        <v>0.87586677074432295</v>
      </c>
      <c r="C177">
        <v>0.83108639717101995</v>
      </c>
      <c r="D177">
        <v>0.88584959500000005</v>
      </c>
      <c r="E177" t="str">
        <f t="shared" si="5"/>
        <v>T1ce+FLAIR</v>
      </c>
    </row>
    <row r="178" spans="1:5" x14ac:dyDescent="0.45">
      <c r="A178" t="s">
        <v>177</v>
      </c>
      <c r="B178">
        <v>0.93488830327987604</v>
      </c>
      <c r="C178">
        <v>0.92134320735931396</v>
      </c>
      <c r="D178">
        <v>0.93239939199999999</v>
      </c>
      <c r="E178" t="str">
        <f t="shared" si="5"/>
        <v>T1ce+FLAIR</v>
      </c>
    </row>
    <row r="179" spans="1:5" x14ac:dyDescent="0.45">
      <c r="A179" t="s">
        <v>178</v>
      </c>
      <c r="B179">
        <v>0.89113974571228005</v>
      </c>
      <c r="C179">
        <v>0.88454920053482</v>
      </c>
      <c r="D179">
        <v>0.89769345499999997</v>
      </c>
      <c r="E179" t="str">
        <f t="shared" si="5"/>
        <v>T1ce+FLAIR</v>
      </c>
    </row>
    <row r="180" spans="1:5" x14ac:dyDescent="0.45">
      <c r="A180" t="s">
        <v>179</v>
      </c>
      <c r="B180">
        <v>0.92107272148132302</v>
      </c>
      <c r="C180">
        <v>0.91662234067916804</v>
      </c>
      <c r="D180">
        <v>0.910523415</v>
      </c>
      <c r="E180" t="str">
        <f t="shared" si="5"/>
        <v>T1ce+FLAIR</v>
      </c>
    </row>
    <row r="181" spans="1:5" x14ac:dyDescent="0.45">
      <c r="A181" t="s">
        <v>180</v>
      </c>
      <c r="B181">
        <v>0.86744117736816395</v>
      </c>
      <c r="C181">
        <v>0.85948187112808205</v>
      </c>
      <c r="D181">
        <v>0.88480520200000001</v>
      </c>
      <c r="E181" t="str">
        <f t="shared" si="5"/>
        <v>T1ce+FLAIR</v>
      </c>
    </row>
    <row r="182" spans="1:5" x14ac:dyDescent="0.45">
      <c r="A182" t="s">
        <v>181</v>
      </c>
      <c r="B182">
        <v>0.82928705215454102</v>
      </c>
      <c r="C182">
        <v>0.82176297903060902</v>
      </c>
      <c r="D182">
        <v>0.83310508699999997</v>
      </c>
      <c r="E182" t="str">
        <f t="shared" si="5"/>
        <v>T1ce+FLAIR</v>
      </c>
    </row>
    <row r="183" spans="1:5" x14ac:dyDescent="0.45">
      <c r="A183" t="s">
        <v>182</v>
      </c>
      <c r="B183">
        <v>0.94671612977981501</v>
      </c>
      <c r="C183">
        <v>0.95679652690887396</v>
      </c>
      <c r="D183">
        <v>0.955656171</v>
      </c>
      <c r="E183" t="str">
        <f t="shared" si="5"/>
        <v>T2+T1ce</v>
      </c>
    </row>
    <row r="184" spans="1:5" x14ac:dyDescent="0.45">
      <c r="A184" t="s">
        <v>183</v>
      </c>
      <c r="B184">
        <v>0.92506253719329801</v>
      </c>
      <c r="C184">
        <v>0.91459923982620195</v>
      </c>
      <c r="D184">
        <v>0.92470306199999996</v>
      </c>
      <c r="E184" t="str">
        <f t="shared" si="5"/>
        <v>T1ce+FLAIR</v>
      </c>
    </row>
    <row r="185" spans="1:5" x14ac:dyDescent="0.45">
      <c r="A185" t="s">
        <v>184</v>
      </c>
      <c r="B185">
        <v>0.89022445678710904</v>
      </c>
      <c r="C185">
        <v>0.871607065200805</v>
      </c>
      <c r="D185">
        <v>0.88739532200000004</v>
      </c>
      <c r="E185" t="str">
        <f t="shared" si="5"/>
        <v>T1ce+FLAIR</v>
      </c>
    </row>
    <row r="186" spans="1:5" x14ac:dyDescent="0.45">
      <c r="A186" t="s">
        <v>185</v>
      </c>
      <c r="B186">
        <v>0.807361960411071</v>
      </c>
      <c r="C186">
        <v>0.79433959722518899</v>
      </c>
      <c r="D186">
        <v>0.787172019</v>
      </c>
      <c r="E186" t="str">
        <f t="shared" si="5"/>
        <v>T1ce+FLAIR</v>
      </c>
    </row>
    <row r="187" spans="1:5" x14ac:dyDescent="0.45">
      <c r="A187" t="s">
        <v>186</v>
      </c>
      <c r="B187">
        <v>0.564472496509552</v>
      </c>
      <c r="C187">
        <v>0.71529495716094904</v>
      </c>
      <c r="D187">
        <v>0.661132634</v>
      </c>
      <c r="E187" t="str">
        <f t="shared" si="5"/>
        <v>T2+T1ce</v>
      </c>
    </row>
    <row r="188" spans="1:5" x14ac:dyDescent="0.45">
      <c r="A188" t="s">
        <v>187</v>
      </c>
      <c r="B188">
        <v>0.954897880554199</v>
      </c>
      <c r="C188">
        <v>0.93301826715469305</v>
      </c>
      <c r="D188">
        <v>0.94877135800000001</v>
      </c>
      <c r="E188" t="str">
        <f t="shared" si="5"/>
        <v>T1ce+FLAIR</v>
      </c>
    </row>
    <row r="189" spans="1:5" x14ac:dyDescent="0.45">
      <c r="A189" t="s">
        <v>188</v>
      </c>
      <c r="B189">
        <v>0.90215051174163796</v>
      </c>
      <c r="C189">
        <v>0.90431416034698398</v>
      </c>
      <c r="D189">
        <v>0.92164599899999999</v>
      </c>
      <c r="E189" t="str">
        <f t="shared" si="5"/>
        <v>T2+T1ce</v>
      </c>
    </row>
    <row r="191" spans="1:5" x14ac:dyDescent="0.45">
      <c r="D191" s="1">
        <v>1.7158500000000001E-10</v>
      </c>
    </row>
    <row r="192" spans="1:5" x14ac:dyDescent="0.45">
      <c r="D192">
        <v>0.955656171</v>
      </c>
    </row>
  </sheetData>
  <mergeCells count="1">
    <mergeCell ref="K3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C099-A651-4AD2-A55C-0504134D4C21}">
  <dimension ref="A1:G192"/>
  <sheetViews>
    <sheetView tabSelected="1" workbookViewId="0">
      <selection activeCell="I18" sqref="I18"/>
    </sheetView>
  </sheetViews>
  <sheetFormatPr defaultRowHeight="14.25" x14ac:dyDescent="0.45"/>
  <cols>
    <col min="1" max="1" width="17.59765625" bestFit="1" customWidth="1"/>
    <col min="2" max="2" width="15.33203125" bestFit="1" customWidth="1"/>
    <col min="3" max="3" width="15.3984375" bestFit="1" customWidth="1"/>
    <col min="4" max="4" width="14.59765625" bestFit="1" customWidth="1"/>
    <col min="5" max="5" width="14.6640625" bestFit="1" customWidth="1"/>
    <col min="6" max="6" width="14.53125" bestFit="1" customWidth="1"/>
    <col min="7" max="7" width="14.59765625" bestFit="1" customWidth="1"/>
  </cols>
  <sheetData>
    <row r="1" spans="1:7" x14ac:dyDescent="0.45">
      <c r="A1" t="s">
        <v>0</v>
      </c>
      <c r="B1" t="s">
        <v>189</v>
      </c>
      <c r="C1" t="s">
        <v>204</v>
      </c>
      <c r="D1" t="s">
        <v>190</v>
      </c>
      <c r="E1" t="s">
        <v>206</v>
      </c>
      <c r="F1" t="s">
        <v>192</v>
      </c>
      <c r="G1" t="s">
        <v>205</v>
      </c>
    </row>
    <row r="2" spans="1:7" x14ac:dyDescent="0.45">
      <c r="A2" t="s">
        <v>1</v>
      </c>
      <c r="B2">
        <v>0.97097903490066495</v>
      </c>
      <c r="C2">
        <v>0.97576415500000002</v>
      </c>
      <c r="D2">
        <v>0.967876076698303</v>
      </c>
      <c r="E2">
        <v>0.972109318</v>
      </c>
      <c r="F2">
        <v>0.93414753675460804</v>
      </c>
      <c r="G2">
        <v>0.94028466899999996</v>
      </c>
    </row>
    <row r="3" spans="1:7" x14ac:dyDescent="0.45">
      <c r="A3" t="s">
        <v>2</v>
      </c>
      <c r="B3">
        <v>0.94787305593490601</v>
      </c>
      <c r="C3">
        <v>0.95331496000000004</v>
      </c>
      <c r="D3">
        <v>0.96003222465515103</v>
      </c>
      <c r="E3">
        <v>0.965536952</v>
      </c>
      <c r="F3">
        <v>0.94172620773315396</v>
      </c>
      <c r="G3">
        <v>0.95231068100000005</v>
      </c>
    </row>
    <row r="4" spans="1:7" x14ac:dyDescent="0.45">
      <c r="A4" t="s">
        <v>3</v>
      </c>
      <c r="B4">
        <v>0.62625020742416304</v>
      </c>
      <c r="C4">
        <v>0.62661737200000001</v>
      </c>
      <c r="D4">
        <v>0.85246843099594105</v>
      </c>
      <c r="E4">
        <v>0.84706580600000003</v>
      </c>
      <c r="F4">
        <v>0.85047537088394098</v>
      </c>
      <c r="G4">
        <v>0.84317839100000003</v>
      </c>
    </row>
    <row r="5" spans="1:7" x14ac:dyDescent="0.45">
      <c r="A5" t="s">
        <v>4</v>
      </c>
      <c r="B5">
        <v>0.96400487422943104</v>
      </c>
      <c r="C5">
        <v>0.96631503100000005</v>
      </c>
      <c r="D5">
        <v>0.97149157524108798</v>
      </c>
      <c r="E5">
        <v>0.97258722799999997</v>
      </c>
      <c r="F5">
        <v>0.88461875915527299</v>
      </c>
      <c r="G5">
        <v>0.88693922800000002</v>
      </c>
    </row>
    <row r="6" spans="1:7" x14ac:dyDescent="0.45">
      <c r="A6" t="s">
        <v>5</v>
      </c>
      <c r="B6">
        <v>0.85372304916381803</v>
      </c>
      <c r="C6">
        <v>0.87995463600000001</v>
      </c>
      <c r="D6">
        <v>0.79248660802841098</v>
      </c>
      <c r="E6">
        <v>0.84600388999999998</v>
      </c>
      <c r="F6">
        <v>0.75835722684860196</v>
      </c>
      <c r="G6">
        <v>0.81156319399999999</v>
      </c>
    </row>
    <row r="7" spans="1:7" x14ac:dyDescent="0.45">
      <c r="A7" t="s">
        <v>6</v>
      </c>
      <c r="B7">
        <v>0.94115960597991899</v>
      </c>
      <c r="C7">
        <v>0.94345289499999996</v>
      </c>
      <c r="D7">
        <v>0.86868977546691895</v>
      </c>
      <c r="E7">
        <v>0.87695962199999999</v>
      </c>
      <c r="F7" s="1">
        <v>1.79533210520332E-9</v>
      </c>
      <c r="G7" s="1">
        <v>1.2299999999999999E-8</v>
      </c>
    </row>
    <row r="8" spans="1:7" x14ac:dyDescent="0.45">
      <c r="A8" t="s">
        <v>7</v>
      </c>
      <c r="B8">
        <v>0.962785184383392</v>
      </c>
      <c r="C8">
        <v>0.96379393300000005</v>
      </c>
      <c r="D8">
        <v>0.91954386234283403</v>
      </c>
      <c r="E8">
        <v>0.92534399000000001</v>
      </c>
      <c r="F8">
        <v>0.89241349697113004</v>
      </c>
      <c r="G8">
        <v>0.89102524500000002</v>
      </c>
    </row>
    <row r="9" spans="1:7" x14ac:dyDescent="0.45">
      <c r="A9" t="s">
        <v>8</v>
      </c>
      <c r="B9">
        <v>0.89544183015823298</v>
      </c>
      <c r="C9">
        <v>0.91799765799999999</v>
      </c>
      <c r="D9">
        <v>0.94435667991638095</v>
      </c>
      <c r="E9">
        <v>0.95275080199999995</v>
      </c>
      <c r="F9">
        <v>0.93072700500488204</v>
      </c>
      <c r="G9">
        <v>0.94013685000000002</v>
      </c>
    </row>
    <row r="10" spans="1:7" x14ac:dyDescent="0.45">
      <c r="A10" t="s">
        <v>9</v>
      </c>
      <c r="B10">
        <v>0.96558809280395497</v>
      </c>
      <c r="C10">
        <v>0.96509641400000001</v>
      </c>
      <c r="D10">
        <v>0.973166704177856</v>
      </c>
      <c r="E10">
        <v>0.97433602799999997</v>
      </c>
      <c r="F10">
        <v>0.89226162433624201</v>
      </c>
      <c r="G10">
        <v>0.89575666200000004</v>
      </c>
    </row>
    <row r="11" spans="1:7" x14ac:dyDescent="0.45">
      <c r="A11" t="s">
        <v>10</v>
      </c>
      <c r="B11">
        <v>0.96286058425903298</v>
      </c>
      <c r="C11">
        <v>0.96115231499999998</v>
      </c>
      <c r="D11">
        <v>0.89723175764083796</v>
      </c>
      <c r="E11">
        <v>0.89573037600000005</v>
      </c>
      <c r="F11">
        <v>0.85085809230804399</v>
      </c>
      <c r="G11">
        <v>0.84690839100000004</v>
      </c>
    </row>
    <row r="12" spans="1:7" x14ac:dyDescent="0.45">
      <c r="A12" t="s">
        <v>11</v>
      </c>
      <c r="B12">
        <v>0.89310169219970703</v>
      </c>
      <c r="C12">
        <v>0.903194249</v>
      </c>
      <c r="D12">
        <v>0.91193282604217496</v>
      </c>
      <c r="E12">
        <v>0.91427779200000003</v>
      </c>
      <c r="F12">
        <v>0.89639639854431097</v>
      </c>
      <c r="G12">
        <v>0.89963871200000001</v>
      </c>
    </row>
    <row r="13" spans="1:7" x14ac:dyDescent="0.45">
      <c r="A13" t="s">
        <v>12</v>
      </c>
      <c r="B13">
        <v>0.96003156900405795</v>
      </c>
      <c r="C13">
        <v>0.96396696599999998</v>
      </c>
      <c r="D13">
        <v>0.96485346555709794</v>
      </c>
      <c r="E13">
        <v>0.97213780900000002</v>
      </c>
      <c r="F13">
        <v>0.91004347801208496</v>
      </c>
      <c r="G13">
        <v>0.92035204199999998</v>
      </c>
    </row>
    <row r="14" spans="1:7" x14ac:dyDescent="0.45">
      <c r="A14" t="s">
        <v>13</v>
      </c>
      <c r="B14">
        <v>0.91938120126724199</v>
      </c>
      <c r="C14">
        <v>0.92967843999999999</v>
      </c>
      <c r="D14">
        <v>0.87360692024230902</v>
      </c>
      <c r="E14">
        <v>0.87250584399999997</v>
      </c>
      <c r="F14">
        <v>0.84221726655960005</v>
      </c>
      <c r="G14">
        <v>0.84588122399999999</v>
      </c>
    </row>
    <row r="15" spans="1:7" x14ac:dyDescent="0.45">
      <c r="A15" t="s">
        <v>14</v>
      </c>
      <c r="B15">
        <v>0.95920652151107699</v>
      </c>
      <c r="C15">
        <v>0.96342665000000005</v>
      </c>
      <c r="D15">
        <v>0.90791720151901201</v>
      </c>
      <c r="E15">
        <v>0.924683213</v>
      </c>
      <c r="F15">
        <v>0.83333706855773904</v>
      </c>
      <c r="G15">
        <v>0.84971255099999998</v>
      </c>
    </row>
    <row r="16" spans="1:7" x14ac:dyDescent="0.45">
      <c r="A16" t="s">
        <v>15</v>
      </c>
      <c r="B16">
        <v>0.89057260751724199</v>
      </c>
      <c r="C16">
        <v>0.90345483999999998</v>
      </c>
      <c r="D16">
        <v>0.93234497308731001</v>
      </c>
      <c r="E16">
        <v>0.93408346200000003</v>
      </c>
      <c r="F16">
        <v>0.77752667665481501</v>
      </c>
      <c r="G16">
        <v>0.78405356400000004</v>
      </c>
    </row>
    <row r="17" spans="1:7" x14ac:dyDescent="0.45">
      <c r="A17" t="s">
        <v>16</v>
      </c>
      <c r="B17">
        <v>0.95480793714523304</v>
      </c>
      <c r="C17">
        <v>0.95665407199999997</v>
      </c>
      <c r="D17">
        <v>0.94898885488510099</v>
      </c>
      <c r="E17">
        <v>0.94578737000000002</v>
      </c>
      <c r="F17">
        <v>0.939114570617675</v>
      </c>
      <c r="G17">
        <v>0.93197530500000003</v>
      </c>
    </row>
    <row r="18" spans="1:7" x14ac:dyDescent="0.45">
      <c r="A18" t="s">
        <v>17</v>
      </c>
      <c r="B18">
        <v>0.94946372509002597</v>
      </c>
      <c r="C18">
        <v>0.94664984900000004</v>
      </c>
      <c r="D18">
        <v>0.96697866916656405</v>
      </c>
      <c r="E18">
        <v>0.97027468699999997</v>
      </c>
      <c r="F18">
        <v>0.90966361761093095</v>
      </c>
      <c r="G18">
        <v>0.91138362900000003</v>
      </c>
    </row>
    <row r="19" spans="1:7" x14ac:dyDescent="0.45">
      <c r="A19" t="s">
        <v>18</v>
      </c>
      <c r="B19">
        <v>0.91074329614639205</v>
      </c>
      <c r="C19">
        <v>0.92341119100000002</v>
      </c>
      <c r="D19">
        <v>0.96360486745834295</v>
      </c>
      <c r="E19">
        <v>0.96975076199999999</v>
      </c>
      <c r="F19">
        <v>0.92450463771820002</v>
      </c>
      <c r="G19">
        <v>0.93768083999999996</v>
      </c>
    </row>
    <row r="20" spans="1:7" x14ac:dyDescent="0.45">
      <c r="A20" t="s">
        <v>19</v>
      </c>
      <c r="B20">
        <v>0.93016219139099099</v>
      </c>
      <c r="C20">
        <v>0.92924106100000003</v>
      </c>
      <c r="D20">
        <v>0.82969367504119795</v>
      </c>
      <c r="E20">
        <v>0.84723293799999999</v>
      </c>
      <c r="F20">
        <v>0.85388022661209095</v>
      </c>
      <c r="G20">
        <v>0.86362492999999996</v>
      </c>
    </row>
    <row r="21" spans="1:7" x14ac:dyDescent="0.45">
      <c r="A21" t="s">
        <v>20</v>
      </c>
      <c r="B21">
        <v>0.95331168174743597</v>
      </c>
      <c r="C21">
        <v>0.95869964399999996</v>
      </c>
      <c r="D21">
        <v>0.97489088773727395</v>
      </c>
      <c r="E21">
        <v>0.97689664399999998</v>
      </c>
      <c r="F21">
        <v>0.90723627805709794</v>
      </c>
      <c r="G21">
        <v>0.91198396699999995</v>
      </c>
    </row>
    <row r="22" spans="1:7" x14ac:dyDescent="0.45">
      <c r="A22" t="s">
        <v>21</v>
      </c>
      <c r="B22">
        <v>0.74475020170211703</v>
      </c>
      <c r="C22">
        <v>0.82167553900000001</v>
      </c>
      <c r="D22">
        <v>0.65458154678344704</v>
      </c>
      <c r="E22">
        <v>0.71514880700000005</v>
      </c>
      <c r="F22">
        <v>0.64899677038192705</v>
      </c>
      <c r="G22">
        <v>0.72685396700000005</v>
      </c>
    </row>
    <row r="23" spans="1:7" x14ac:dyDescent="0.45">
      <c r="A23" t="s">
        <v>22</v>
      </c>
      <c r="B23">
        <v>0.905858874320983</v>
      </c>
      <c r="C23">
        <v>0.89742213500000001</v>
      </c>
      <c r="D23">
        <v>0.79868346452713002</v>
      </c>
      <c r="E23">
        <v>0.81873476499999998</v>
      </c>
      <c r="F23">
        <v>0.78225809335708596</v>
      </c>
      <c r="G23">
        <v>0.79247730999999999</v>
      </c>
    </row>
    <row r="24" spans="1:7" x14ac:dyDescent="0.45">
      <c r="A24" t="s">
        <v>23</v>
      </c>
      <c r="B24">
        <v>0.78762036561965898</v>
      </c>
      <c r="C24">
        <v>0.79573613399999998</v>
      </c>
      <c r="D24">
        <v>0.88223242759704501</v>
      </c>
      <c r="E24">
        <v>0.88760757400000001</v>
      </c>
      <c r="F24">
        <v>0.83732956647872903</v>
      </c>
      <c r="G24">
        <v>0.84245115500000001</v>
      </c>
    </row>
    <row r="25" spans="1:7" x14ac:dyDescent="0.45">
      <c r="A25" t="s">
        <v>24</v>
      </c>
      <c r="B25">
        <v>0.93588602542877197</v>
      </c>
      <c r="C25">
        <v>0.93718838699999996</v>
      </c>
      <c r="D25">
        <v>0.86466085910797097</v>
      </c>
      <c r="E25">
        <v>0.87317848200000003</v>
      </c>
      <c r="F25">
        <v>0.85604703426360995</v>
      </c>
      <c r="G25">
        <v>0.83286094700000002</v>
      </c>
    </row>
    <row r="26" spans="1:7" x14ac:dyDescent="0.45">
      <c r="A26" t="s">
        <v>25</v>
      </c>
      <c r="B26">
        <v>0.92822474241256703</v>
      </c>
      <c r="C26">
        <v>0.92695885899999997</v>
      </c>
      <c r="D26">
        <v>0.92716246843338002</v>
      </c>
      <c r="E26">
        <v>0.92846167099999999</v>
      </c>
      <c r="F26">
        <v>0.79050546884536699</v>
      </c>
      <c r="G26">
        <v>0.78589868500000004</v>
      </c>
    </row>
    <row r="27" spans="1:7" x14ac:dyDescent="0.45">
      <c r="A27" t="s">
        <v>26</v>
      </c>
      <c r="B27">
        <v>0.94853055477142301</v>
      </c>
      <c r="C27">
        <v>0.95540207600000004</v>
      </c>
      <c r="D27">
        <v>0.91516995429992598</v>
      </c>
      <c r="E27">
        <v>0.91967648300000004</v>
      </c>
      <c r="F27" s="1">
        <v>7.6763644052402201E-11</v>
      </c>
      <c r="G27" s="1">
        <v>1.72E-10</v>
      </c>
    </row>
    <row r="28" spans="1:7" x14ac:dyDescent="0.45">
      <c r="A28" t="s">
        <v>27</v>
      </c>
      <c r="B28">
        <v>0.91547650098800604</v>
      </c>
      <c r="C28">
        <v>0.91523599600000005</v>
      </c>
      <c r="D28">
        <v>0.72413790225982599</v>
      </c>
      <c r="E28">
        <v>0.73867923000000002</v>
      </c>
      <c r="F28">
        <v>0.74824726581573398</v>
      </c>
      <c r="G28">
        <v>0.77324414299999999</v>
      </c>
    </row>
    <row r="29" spans="1:7" x14ac:dyDescent="0.45">
      <c r="A29" t="s">
        <v>28</v>
      </c>
      <c r="B29">
        <v>0.88141036033630304</v>
      </c>
      <c r="C29">
        <v>0.88192355600000005</v>
      </c>
      <c r="D29">
        <v>0.90657985210418701</v>
      </c>
      <c r="E29">
        <v>0.91064101500000005</v>
      </c>
      <c r="F29">
        <v>0.79616284370422297</v>
      </c>
      <c r="G29">
        <v>0.805730104</v>
      </c>
    </row>
    <row r="30" spans="1:7" x14ac:dyDescent="0.45">
      <c r="A30" t="s">
        <v>29</v>
      </c>
      <c r="B30">
        <v>0.95872968435287398</v>
      </c>
      <c r="C30">
        <v>0.96112543299999997</v>
      </c>
      <c r="D30">
        <v>0.95413339138030995</v>
      </c>
      <c r="E30">
        <v>0.95750170899999998</v>
      </c>
      <c r="F30">
        <v>0.94034492969512895</v>
      </c>
      <c r="G30">
        <v>0.94418275399999996</v>
      </c>
    </row>
    <row r="31" spans="1:7" x14ac:dyDescent="0.45">
      <c r="A31" t="s">
        <v>30</v>
      </c>
      <c r="B31">
        <v>0.92565310001373202</v>
      </c>
      <c r="C31">
        <v>0.92156601000000005</v>
      </c>
      <c r="D31">
        <v>0.90929418802261297</v>
      </c>
      <c r="E31">
        <v>0.90559458699999995</v>
      </c>
      <c r="F31">
        <v>0.86834144592285101</v>
      </c>
      <c r="G31">
        <v>0.86908042399999996</v>
      </c>
    </row>
    <row r="32" spans="1:7" x14ac:dyDescent="0.45">
      <c r="A32" t="s">
        <v>31</v>
      </c>
      <c r="B32">
        <v>0.88670629262924106</v>
      </c>
      <c r="C32">
        <v>0.87883156500000004</v>
      </c>
      <c r="D32">
        <v>0.88212102651596003</v>
      </c>
      <c r="E32">
        <v>0.87611955399999997</v>
      </c>
      <c r="F32">
        <v>0.746357440948486</v>
      </c>
      <c r="G32">
        <v>0.73374623100000003</v>
      </c>
    </row>
    <row r="33" spans="1:7" x14ac:dyDescent="0.45">
      <c r="A33" t="s">
        <v>32</v>
      </c>
      <c r="B33">
        <v>0.93689602613449097</v>
      </c>
      <c r="C33">
        <v>0.93454468300000004</v>
      </c>
      <c r="D33">
        <v>0.94212412834167403</v>
      </c>
      <c r="E33">
        <v>0.95274722599999995</v>
      </c>
      <c r="F33">
        <v>0.89386832714080799</v>
      </c>
      <c r="G33">
        <v>0.91031753999999998</v>
      </c>
    </row>
    <row r="34" spans="1:7" x14ac:dyDescent="0.45">
      <c r="A34" t="s">
        <v>33</v>
      </c>
      <c r="B34">
        <v>0.92566299438476496</v>
      </c>
      <c r="C34">
        <v>0.92581891999999999</v>
      </c>
      <c r="D34">
        <v>0.92381882667541504</v>
      </c>
      <c r="E34">
        <v>0.92226719899999998</v>
      </c>
      <c r="F34">
        <v>0.90875291824340798</v>
      </c>
      <c r="G34">
        <v>0.91836315400000001</v>
      </c>
    </row>
    <row r="35" spans="1:7" x14ac:dyDescent="0.45">
      <c r="A35" t="s">
        <v>34</v>
      </c>
      <c r="B35">
        <v>0.96471738815307595</v>
      </c>
      <c r="C35">
        <v>0.96774834399999998</v>
      </c>
      <c r="D35">
        <v>0.96986687183380105</v>
      </c>
      <c r="E35">
        <v>0.97301232800000004</v>
      </c>
      <c r="F35">
        <v>0.93465775251388505</v>
      </c>
      <c r="G35">
        <v>0.93756729400000005</v>
      </c>
    </row>
    <row r="36" spans="1:7" x14ac:dyDescent="0.45">
      <c r="A36" t="s">
        <v>35</v>
      </c>
      <c r="B36">
        <v>0.89518862962722701</v>
      </c>
      <c r="C36">
        <v>0.896513581</v>
      </c>
      <c r="D36">
        <v>0.90333330631256104</v>
      </c>
      <c r="E36">
        <v>0.90940743700000004</v>
      </c>
      <c r="F36">
        <v>0.855746269226074</v>
      </c>
      <c r="G36">
        <v>0.860582709</v>
      </c>
    </row>
    <row r="37" spans="1:7" x14ac:dyDescent="0.45">
      <c r="A37" t="s">
        <v>36</v>
      </c>
      <c r="B37">
        <v>0.73222869634628296</v>
      </c>
      <c r="C37">
        <v>0.73773592700000001</v>
      </c>
      <c r="D37">
        <v>0.48645117878913802</v>
      </c>
      <c r="E37">
        <v>0.45229923700000002</v>
      </c>
      <c r="F37">
        <v>0.46684351563453602</v>
      </c>
      <c r="G37">
        <v>0.46002042300000001</v>
      </c>
    </row>
    <row r="38" spans="1:7" x14ac:dyDescent="0.45">
      <c r="A38" t="s">
        <v>37</v>
      </c>
      <c r="B38">
        <v>0.85589379072189298</v>
      </c>
      <c r="C38">
        <v>0.85482418500000001</v>
      </c>
      <c r="D38">
        <v>0.68416732549667303</v>
      </c>
      <c r="E38">
        <v>0.55786347400000003</v>
      </c>
      <c r="F38">
        <v>0.53333336114883401</v>
      </c>
      <c r="G38">
        <v>0.41875681300000001</v>
      </c>
    </row>
    <row r="39" spans="1:7" x14ac:dyDescent="0.45">
      <c r="A39" t="s">
        <v>38</v>
      </c>
      <c r="B39">
        <v>0.96626847982406605</v>
      </c>
      <c r="C39">
        <v>0.96768605699999999</v>
      </c>
      <c r="D39">
        <v>0.95517444610595703</v>
      </c>
      <c r="E39">
        <v>0.95536243899999995</v>
      </c>
      <c r="F39">
        <v>0.93853533267974798</v>
      </c>
      <c r="G39">
        <v>0.93261694900000003</v>
      </c>
    </row>
    <row r="40" spans="1:7" x14ac:dyDescent="0.45">
      <c r="A40" t="s">
        <v>39</v>
      </c>
      <c r="B40">
        <v>0.87501239776611295</v>
      </c>
      <c r="C40">
        <v>0.87345176899999999</v>
      </c>
      <c r="D40">
        <v>0.82316827774047796</v>
      </c>
      <c r="E40">
        <v>0.77734953200000001</v>
      </c>
      <c r="F40" s="1">
        <v>2.3529411752321002E-9</v>
      </c>
      <c r="G40" s="1">
        <v>1.4300000000000001E-8</v>
      </c>
    </row>
    <row r="41" spans="1:7" x14ac:dyDescent="0.45">
      <c r="A41" t="s">
        <v>40</v>
      </c>
      <c r="B41">
        <v>0.90712338685989302</v>
      </c>
      <c r="C41">
        <v>0.91417604699999999</v>
      </c>
      <c r="D41">
        <v>0.87795394659042303</v>
      </c>
      <c r="E41">
        <v>0.88344353399999997</v>
      </c>
      <c r="F41">
        <v>0.800323605537414</v>
      </c>
      <c r="G41">
        <v>0.80768013000000005</v>
      </c>
    </row>
    <row r="42" spans="1:7" x14ac:dyDescent="0.45">
      <c r="A42" t="s">
        <v>41</v>
      </c>
      <c r="B42">
        <v>0.88541114330291704</v>
      </c>
      <c r="C42">
        <v>0.89879351900000004</v>
      </c>
      <c r="D42" s="1">
        <v>2.3769908263915299E-10</v>
      </c>
      <c r="E42" s="1">
        <v>5.1899999999999997E-10</v>
      </c>
      <c r="F42" s="1">
        <v>2.4999994252539102E-7</v>
      </c>
      <c r="G42" s="1">
        <v>1.2499999999999999E-7</v>
      </c>
    </row>
    <row r="43" spans="1:7" x14ac:dyDescent="0.45">
      <c r="A43" t="s">
        <v>42</v>
      </c>
      <c r="B43">
        <v>0.92213225364685003</v>
      </c>
      <c r="C43">
        <v>0.930745304</v>
      </c>
      <c r="D43">
        <v>0.91924315690994196</v>
      </c>
      <c r="E43">
        <v>0.91949212599999997</v>
      </c>
      <c r="F43">
        <v>0.80663973093032804</v>
      </c>
      <c r="G43">
        <v>0.81056678299999996</v>
      </c>
    </row>
    <row r="44" spans="1:7" x14ac:dyDescent="0.45">
      <c r="A44" t="s">
        <v>43</v>
      </c>
      <c r="B44">
        <v>0.79219442605972201</v>
      </c>
      <c r="C44">
        <v>0.75993007400000001</v>
      </c>
      <c r="D44">
        <v>0.95523005723953203</v>
      </c>
      <c r="E44">
        <v>0.95640665300000005</v>
      </c>
      <c r="F44">
        <v>0.92781430482864302</v>
      </c>
      <c r="G44">
        <v>0.93122327299999996</v>
      </c>
    </row>
    <row r="45" spans="1:7" x14ac:dyDescent="0.45">
      <c r="A45" t="s">
        <v>44</v>
      </c>
      <c r="B45">
        <v>0.77655231952667203</v>
      </c>
      <c r="C45">
        <v>0.813748896</v>
      </c>
      <c r="D45">
        <v>0.54991120100021296</v>
      </c>
      <c r="E45">
        <v>0.59375</v>
      </c>
      <c r="F45">
        <v>0.81886613368988004</v>
      </c>
      <c r="G45">
        <v>0.79638624199999997</v>
      </c>
    </row>
    <row r="46" spans="1:7" x14ac:dyDescent="0.45">
      <c r="A46" t="s">
        <v>45</v>
      </c>
      <c r="B46">
        <v>0.967776119709014</v>
      </c>
      <c r="C46">
        <v>0.97136277000000004</v>
      </c>
      <c r="D46">
        <v>0.95835375785827603</v>
      </c>
      <c r="E46">
        <v>0.94849950100000002</v>
      </c>
      <c r="F46">
        <v>0.93192774057388295</v>
      </c>
      <c r="G46">
        <v>0.90646284799999999</v>
      </c>
    </row>
    <row r="47" spans="1:7" x14ac:dyDescent="0.45">
      <c r="A47" t="s">
        <v>46</v>
      </c>
      <c r="B47">
        <v>0.93869972229003895</v>
      </c>
      <c r="C47">
        <v>0.938052475</v>
      </c>
      <c r="D47">
        <v>0.97022658586501997</v>
      </c>
      <c r="E47">
        <v>0.97020369799999995</v>
      </c>
      <c r="F47">
        <v>0.93191611766815097</v>
      </c>
      <c r="G47">
        <v>0.93113625</v>
      </c>
    </row>
    <row r="48" spans="1:7" x14ac:dyDescent="0.45">
      <c r="A48" t="s">
        <v>47</v>
      </c>
      <c r="B48">
        <v>0.75448030233383101</v>
      </c>
      <c r="C48">
        <v>0.79950505500000002</v>
      </c>
      <c r="D48">
        <v>0.83945596218109098</v>
      </c>
      <c r="E48">
        <v>0.87081462099999996</v>
      </c>
      <c r="F48">
        <v>0.83738267421722401</v>
      </c>
      <c r="G48">
        <v>0.88272070899999999</v>
      </c>
    </row>
    <row r="49" spans="1:7" x14ac:dyDescent="0.45">
      <c r="A49" t="s">
        <v>48</v>
      </c>
      <c r="B49">
        <v>0.88544338941574097</v>
      </c>
      <c r="C49">
        <v>0.89506369799999996</v>
      </c>
      <c r="D49">
        <v>0.90028721094131403</v>
      </c>
      <c r="E49">
        <v>0.92871326200000004</v>
      </c>
      <c r="F49">
        <v>0.85181140899658203</v>
      </c>
      <c r="G49">
        <v>0.87363773600000005</v>
      </c>
    </row>
    <row r="50" spans="1:7" x14ac:dyDescent="0.45">
      <c r="A50" t="s">
        <v>49</v>
      </c>
      <c r="B50">
        <v>0.964361071586608</v>
      </c>
      <c r="C50">
        <v>0.96306407500000002</v>
      </c>
      <c r="D50">
        <v>0.973863124847412</v>
      </c>
      <c r="E50">
        <v>0.97614878400000005</v>
      </c>
      <c r="F50">
        <v>0.88675659894943204</v>
      </c>
      <c r="G50">
        <v>0.897637248</v>
      </c>
    </row>
    <row r="51" spans="1:7" x14ac:dyDescent="0.45">
      <c r="A51" t="s">
        <v>50</v>
      </c>
      <c r="B51">
        <v>0.95490223169326705</v>
      </c>
      <c r="C51">
        <v>0.95543223600000005</v>
      </c>
      <c r="D51">
        <v>0.96446561813354403</v>
      </c>
      <c r="E51">
        <v>0.96241796000000002</v>
      </c>
      <c r="F51">
        <v>0.93509924411773604</v>
      </c>
      <c r="G51">
        <v>0.93040448399999998</v>
      </c>
    </row>
    <row r="52" spans="1:7" x14ac:dyDescent="0.45">
      <c r="A52" t="s">
        <v>51</v>
      </c>
      <c r="B52">
        <v>0.88904267549514704</v>
      </c>
      <c r="C52">
        <v>0.90633451899999995</v>
      </c>
      <c r="D52">
        <v>0.953466176986694</v>
      </c>
      <c r="E52">
        <v>0.95052266100000005</v>
      </c>
      <c r="F52">
        <v>0.93383377790451005</v>
      </c>
      <c r="G52">
        <v>0.92735874699999998</v>
      </c>
    </row>
    <row r="53" spans="1:7" x14ac:dyDescent="0.45">
      <c r="A53" t="s">
        <v>52</v>
      </c>
      <c r="B53">
        <v>0.92850118875503496</v>
      </c>
      <c r="C53">
        <v>0.93966042999999999</v>
      </c>
      <c r="D53">
        <v>0.91789144277572599</v>
      </c>
      <c r="E53">
        <v>0.92825829999999998</v>
      </c>
      <c r="F53">
        <v>0.91360992193222001</v>
      </c>
      <c r="G53">
        <v>0.92540365499999999</v>
      </c>
    </row>
    <row r="54" spans="1:7" x14ac:dyDescent="0.45">
      <c r="A54" t="s">
        <v>53</v>
      </c>
      <c r="B54">
        <v>0.93397021293640103</v>
      </c>
      <c r="C54">
        <v>0.94564980300000001</v>
      </c>
      <c r="D54">
        <v>0.96477794647216797</v>
      </c>
      <c r="E54">
        <v>0.96577024499999997</v>
      </c>
      <c r="F54">
        <v>0.94290614128112704</v>
      </c>
      <c r="G54">
        <v>0.94272577800000001</v>
      </c>
    </row>
    <row r="55" spans="1:7" x14ac:dyDescent="0.45">
      <c r="A55" t="s">
        <v>54</v>
      </c>
      <c r="B55">
        <v>0.94040900468826205</v>
      </c>
      <c r="C55">
        <v>0.94210922699999999</v>
      </c>
      <c r="D55">
        <v>0.88049012422561601</v>
      </c>
      <c r="E55">
        <v>0.88914924900000003</v>
      </c>
      <c r="F55">
        <v>0.70787394046783403</v>
      </c>
      <c r="G55">
        <v>0.72864663600000001</v>
      </c>
    </row>
    <row r="56" spans="1:7" x14ac:dyDescent="0.45">
      <c r="A56" t="s">
        <v>55</v>
      </c>
      <c r="B56">
        <v>0.91077041625976496</v>
      </c>
      <c r="C56">
        <v>0.90948170399999995</v>
      </c>
      <c r="D56">
        <v>0.72885644435882502</v>
      </c>
      <c r="E56">
        <v>0.73354327699999999</v>
      </c>
      <c r="F56">
        <v>0.83972638845443703</v>
      </c>
      <c r="G56">
        <v>0.84948104599999996</v>
      </c>
    </row>
    <row r="57" spans="1:7" x14ac:dyDescent="0.45">
      <c r="A57" t="s">
        <v>56</v>
      </c>
      <c r="B57">
        <v>0.96943360567092896</v>
      </c>
      <c r="C57">
        <v>0.96898138499999997</v>
      </c>
      <c r="D57">
        <v>0.97872424125671298</v>
      </c>
      <c r="E57">
        <v>0.97823971499999995</v>
      </c>
      <c r="F57">
        <v>0.93128693103790205</v>
      </c>
      <c r="G57">
        <v>0.92962157700000003</v>
      </c>
    </row>
    <row r="58" spans="1:7" x14ac:dyDescent="0.45">
      <c r="A58" t="s">
        <v>57</v>
      </c>
      <c r="B58">
        <v>0.87537676095962502</v>
      </c>
      <c r="C58">
        <v>0.81257575800000004</v>
      </c>
      <c r="D58">
        <v>0.70422536134719804</v>
      </c>
      <c r="E58">
        <v>0.72307694</v>
      </c>
      <c r="F58">
        <v>0.76923078298568703</v>
      </c>
      <c r="G58">
        <v>0.66666668699999998</v>
      </c>
    </row>
    <row r="59" spans="1:7" x14ac:dyDescent="0.45">
      <c r="A59" t="s">
        <v>58</v>
      </c>
      <c r="B59">
        <v>0.93251377344131403</v>
      </c>
      <c r="C59">
        <v>0.92991024300000003</v>
      </c>
      <c r="D59">
        <v>0.958812475204467</v>
      </c>
      <c r="E59">
        <v>0.96394312400000004</v>
      </c>
      <c r="F59">
        <v>0.93486052751541104</v>
      </c>
      <c r="G59">
        <v>0.94662654400000001</v>
      </c>
    </row>
    <row r="60" spans="1:7" x14ac:dyDescent="0.45">
      <c r="A60" t="s">
        <v>59</v>
      </c>
      <c r="B60">
        <v>0.953746378421783</v>
      </c>
      <c r="C60">
        <v>0.95461994400000005</v>
      </c>
      <c r="D60">
        <v>0.95829379558563199</v>
      </c>
      <c r="E60">
        <v>0.96297240299999998</v>
      </c>
      <c r="F60">
        <v>0.92765450477600098</v>
      </c>
      <c r="G60">
        <v>0.936818182</v>
      </c>
    </row>
    <row r="61" spans="1:7" x14ac:dyDescent="0.45">
      <c r="A61" t="s">
        <v>60</v>
      </c>
      <c r="B61">
        <v>0.95565330982208196</v>
      </c>
      <c r="C61">
        <v>0.95825249000000001</v>
      </c>
      <c r="D61">
        <v>0.93899571895599299</v>
      </c>
      <c r="E61">
        <v>0.94365316600000004</v>
      </c>
      <c r="F61">
        <v>0.87909096479415805</v>
      </c>
      <c r="G61">
        <v>0.88034319900000002</v>
      </c>
    </row>
    <row r="62" spans="1:7" x14ac:dyDescent="0.45">
      <c r="A62" t="s">
        <v>61</v>
      </c>
      <c r="B62">
        <v>0.96021598577499301</v>
      </c>
      <c r="C62">
        <v>0.96482098100000002</v>
      </c>
      <c r="D62">
        <v>0.97533380985259999</v>
      </c>
      <c r="E62">
        <v>0.97642493200000002</v>
      </c>
      <c r="F62">
        <v>0.88805478811264005</v>
      </c>
      <c r="G62">
        <v>0.88725262900000001</v>
      </c>
    </row>
    <row r="63" spans="1:7" x14ac:dyDescent="0.45">
      <c r="A63" t="s">
        <v>62</v>
      </c>
      <c r="B63">
        <v>0.93052303791046098</v>
      </c>
      <c r="C63">
        <v>0.93344253300000002</v>
      </c>
      <c r="D63">
        <v>0.93606609106063798</v>
      </c>
      <c r="E63">
        <v>0.93445587200000002</v>
      </c>
      <c r="F63">
        <v>0.88443380594253496</v>
      </c>
      <c r="G63">
        <v>0.88278514100000005</v>
      </c>
    </row>
    <row r="64" spans="1:7" x14ac:dyDescent="0.45">
      <c r="A64" t="s">
        <v>63</v>
      </c>
      <c r="B64">
        <v>0.94970095157623202</v>
      </c>
      <c r="C64">
        <v>0.94902169700000005</v>
      </c>
      <c r="D64">
        <v>0.94075679779052701</v>
      </c>
      <c r="E64">
        <v>0.95009595199999997</v>
      </c>
      <c r="F64">
        <v>0.87400227785110396</v>
      </c>
      <c r="G64">
        <v>0.89362794199999995</v>
      </c>
    </row>
    <row r="65" spans="1:7" x14ac:dyDescent="0.45">
      <c r="A65" t="s">
        <v>64</v>
      </c>
      <c r="B65">
        <v>0.926535904407501</v>
      </c>
      <c r="C65">
        <v>0.92877221099999996</v>
      </c>
      <c r="D65">
        <v>0.92975288629531805</v>
      </c>
      <c r="E65">
        <v>0.93187582499999999</v>
      </c>
      <c r="F65">
        <v>0.86089682579040505</v>
      </c>
      <c r="G65">
        <v>0.86118978300000004</v>
      </c>
    </row>
    <row r="66" spans="1:7" x14ac:dyDescent="0.45">
      <c r="A66" t="s">
        <v>65</v>
      </c>
      <c r="B66">
        <v>0.94533878564834595</v>
      </c>
      <c r="C66">
        <v>0.948372781</v>
      </c>
      <c r="D66">
        <v>0.97488749027252197</v>
      </c>
      <c r="E66">
        <v>0.97527700699999997</v>
      </c>
      <c r="F66">
        <v>0.85671472549438399</v>
      </c>
      <c r="G66">
        <v>0.86115449700000002</v>
      </c>
    </row>
    <row r="67" spans="1:7" x14ac:dyDescent="0.45">
      <c r="A67" t="s">
        <v>66</v>
      </c>
      <c r="B67">
        <v>0.93940776586532504</v>
      </c>
      <c r="C67">
        <v>0.93812537200000001</v>
      </c>
      <c r="D67">
        <v>0.95633327960967995</v>
      </c>
      <c r="E67">
        <v>0.96096241500000001</v>
      </c>
      <c r="F67">
        <v>0.87953954935073797</v>
      </c>
      <c r="G67">
        <v>0.89160126399999995</v>
      </c>
    </row>
    <row r="68" spans="1:7" x14ac:dyDescent="0.45">
      <c r="A68" t="s">
        <v>67</v>
      </c>
      <c r="B68">
        <v>0.82223099470138505</v>
      </c>
      <c r="C68">
        <v>0.80870288599999995</v>
      </c>
      <c r="D68">
        <v>0.93773484230041504</v>
      </c>
      <c r="E68">
        <v>0.92630326699999999</v>
      </c>
      <c r="F68">
        <v>0.83889955282211304</v>
      </c>
      <c r="G68">
        <v>0.82670235599999997</v>
      </c>
    </row>
    <row r="69" spans="1:7" x14ac:dyDescent="0.45">
      <c r="A69" t="s">
        <v>68</v>
      </c>
      <c r="B69">
        <v>0.49228841066360401</v>
      </c>
      <c r="C69">
        <v>0.52975308899999995</v>
      </c>
      <c r="D69">
        <v>0.95125627517700195</v>
      </c>
      <c r="E69">
        <v>0.94789332199999998</v>
      </c>
      <c r="F69">
        <v>0.90090090036392201</v>
      </c>
      <c r="G69">
        <v>0.904071391</v>
      </c>
    </row>
    <row r="70" spans="1:7" x14ac:dyDescent="0.45">
      <c r="A70" t="s">
        <v>69</v>
      </c>
      <c r="B70">
        <v>0.94456750154495195</v>
      </c>
      <c r="C70">
        <v>0.94935482699999996</v>
      </c>
      <c r="D70">
        <v>0.92923647165298395</v>
      </c>
      <c r="E70">
        <v>0.93653899399999996</v>
      </c>
      <c r="F70">
        <v>0.85906225442886297</v>
      </c>
      <c r="G70">
        <v>0.87001037599999997</v>
      </c>
    </row>
    <row r="71" spans="1:7" x14ac:dyDescent="0.45">
      <c r="A71" t="s">
        <v>70</v>
      </c>
      <c r="B71">
        <v>0.95872020721435502</v>
      </c>
      <c r="C71">
        <v>0.96235006999999995</v>
      </c>
      <c r="D71">
        <v>0.94997912645339899</v>
      </c>
      <c r="E71">
        <v>0.95205503700000005</v>
      </c>
      <c r="F71">
        <v>0.92668741941452004</v>
      </c>
      <c r="G71">
        <v>0.93254572199999997</v>
      </c>
    </row>
    <row r="72" spans="1:7" x14ac:dyDescent="0.45">
      <c r="A72" t="s">
        <v>71</v>
      </c>
      <c r="B72">
        <v>0.94799447059631303</v>
      </c>
      <c r="C72">
        <v>0.94979947799999997</v>
      </c>
      <c r="D72">
        <v>0.91983908414840698</v>
      </c>
      <c r="E72">
        <v>0.92119139400000005</v>
      </c>
      <c r="F72" s="1">
        <v>7.7821010746603695E-10</v>
      </c>
      <c r="G72" s="1">
        <v>9.2500000000000001E-10</v>
      </c>
    </row>
    <row r="73" spans="1:7" x14ac:dyDescent="0.45">
      <c r="A73" t="s">
        <v>72</v>
      </c>
      <c r="B73">
        <v>0.81932514905929499</v>
      </c>
      <c r="C73">
        <v>0.82529664000000003</v>
      </c>
      <c r="D73">
        <v>0.84611743688583296</v>
      </c>
      <c r="E73">
        <v>0.87588906300000002</v>
      </c>
      <c r="F73">
        <v>0.51991945505142201</v>
      </c>
      <c r="G73">
        <v>0.51588964500000001</v>
      </c>
    </row>
    <row r="74" spans="1:7" x14ac:dyDescent="0.45">
      <c r="A74" t="s">
        <v>73</v>
      </c>
      <c r="B74">
        <v>0.94347470998764005</v>
      </c>
      <c r="C74">
        <v>0.94953751600000003</v>
      </c>
      <c r="D74">
        <v>0.946524798870086</v>
      </c>
      <c r="E74">
        <v>0.95599436800000004</v>
      </c>
      <c r="F74">
        <v>0.88196802139282204</v>
      </c>
      <c r="G74">
        <v>0.89085269</v>
      </c>
    </row>
    <row r="75" spans="1:7" x14ac:dyDescent="0.45">
      <c r="A75" t="s">
        <v>74</v>
      </c>
      <c r="B75">
        <v>0.94157981872558505</v>
      </c>
      <c r="C75">
        <v>0.940033436</v>
      </c>
      <c r="D75">
        <v>0.96493959426879805</v>
      </c>
      <c r="E75">
        <v>0.96171039300000005</v>
      </c>
      <c r="F75">
        <v>0.88999325037002497</v>
      </c>
      <c r="G75">
        <v>0.873487711</v>
      </c>
    </row>
    <row r="76" spans="1:7" x14ac:dyDescent="0.45">
      <c r="A76" t="s">
        <v>75</v>
      </c>
      <c r="B76">
        <v>0.95609247684478704</v>
      </c>
      <c r="C76">
        <v>0.95636379699999996</v>
      </c>
      <c r="D76">
        <v>0.96503448486328103</v>
      </c>
      <c r="E76">
        <v>0.96889334900000001</v>
      </c>
      <c r="F76">
        <v>0.89361798763275102</v>
      </c>
      <c r="G76">
        <v>0.90856617699999997</v>
      </c>
    </row>
    <row r="77" spans="1:7" x14ac:dyDescent="0.45">
      <c r="A77" t="s">
        <v>76</v>
      </c>
      <c r="B77">
        <v>0.90302836894989003</v>
      </c>
      <c r="C77">
        <v>0.89657318600000002</v>
      </c>
      <c r="D77">
        <v>0.89908593893051103</v>
      </c>
      <c r="E77">
        <v>0.92968606899999995</v>
      </c>
      <c r="F77">
        <v>0.74694466590881303</v>
      </c>
      <c r="G77">
        <v>0.76273101600000004</v>
      </c>
    </row>
    <row r="78" spans="1:7" x14ac:dyDescent="0.45">
      <c r="A78" t="s">
        <v>77</v>
      </c>
      <c r="B78">
        <v>0.923314929008483</v>
      </c>
      <c r="C78">
        <v>0.92761915900000003</v>
      </c>
      <c r="D78">
        <v>0.91767126321792603</v>
      </c>
      <c r="E78">
        <v>0.92054247899999997</v>
      </c>
      <c r="F78">
        <v>0.91611778736114502</v>
      </c>
      <c r="G78">
        <v>0.93381482400000004</v>
      </c>
    </row>
    <row r="79" spans="1:7" x14ac:dyDescent="0.45">
      <c r="A79" t="s">
        <v>78</v>
      </c>
      <c r="B79">
        <v>0.94414430856704701</v>
      </c>
      <c r="C79">
        <v>0.94815200600000005</v>
      </c>
      <c r="D79">
        <v>0.96088331937789895</v>
      </c>
      <c r="E79">
        <v>0.95617115500000005</v>
      </c>
      <c r="F79">
        <v>0.86338013410568204</v>
      </c>
      <c r="G79">
        <v>0.86564290499999996</v>
      </c>
    </row>
    <row r="80" spans="1:7" x14ac:dyDescent="0.45">
      <c r="A80" t="s">
        <v>79</v>
      </c>
      <c r="B80">
        <v>0.959894359111785</v>
      </c>
      <c r="C80">
        <v>0.96024376199999995</v>
      </c>
      <c r="D80">
        <v>0.96579986810684204</v>
      </c>
      <c r="E80">
        <v>0.96721613399999995</v>
      </c>
      <c r="F80">
        <v>0.91160112619400002</v>
      </c>
      <c r="G80">
        <v>0.91218513300000004</v>
      </c>
    </row>
    <row r="81" spans="1:7" x14ac:dyDescent="0.45">
      <c r="A81" t="s">
        <v>80</v>
      </c>
      <c r="B81">
        <v>0.96337836980819702</v>
      </c>
      <c r="C81">
        <v>0.96437156199999996</v>
      </c>
      <c r="D81">
        <v>0.97509729862213101</v>
      </c>
      <c r="E81">
        <v>0.97408783399999999</v>
      </c>
      <c r="F81">
        <v>0.94497549533843905</v>
      </c>
      <c r="G81">
        <v>0.94394874600000001</v>
      </c>
    </row>
    <row r="82" spans="1:7" x14ac:dyDescent="0.45">
      <c r="A82" t="s">
        <v>81</v>
      </c>
      <c r="B82">
        <v>0.945925593376159</v>
      </c>
      <c r="C82">
        <v>0.94812792499999998</v>
      </c>
      <c r="D82">
        <v>0.96498441696166903</v>
      </c>
      <c r="E82">
        <v>0.96537244300000002</v>
      </c>
      <c r="F82">
        <v>0.91078621149063099</v>
      </c>
      <c r="G82">
        <v>0.91684222199999998</v>
      </c>
    </row>
    <row r="83" spans="1:7" x14ac:dyDescent="0.45">
      <c r="A83" t="s">
        <v>82</v>
      </c>
      <c r="B83">
        <v>0.92802655696868896</v>
      </c>
      <c r="C83">
        <v>0.92752140800000005</v>
      </c>
      <c r="D83">
        <v>0.92775171995162897</v>
      </c>
      <c r="E83">
        <v>0.93217474199999995</v>
      </c>
      <c r="F83">
        <v>0.82331597805023105</v>
      </c>
      <c r="G83">
        <v>0.83290565000000005</v>
      </c>
    </row>
    <row r="84" spans="1:7" x14ac:dyDescent="0.45">
      <c r="A84" t="s">
        <v>83</v>
      </c>
      <c r="B84">
        <v>0.91106033325195301</v>
      </c>
      <c r="C84">
        <v>0.90851914899999997</v>
      </c>
      <c r="D84">
        <v>0.557167649269104</v>
      </c>
      <c r="E84">
        <v>0.52697968500000003</v>
      </c>
      <c r="F84">
        <v>0.181078150868415</v>
      </c>
      <c r="G84">
        <v>0.19065025399999999</v>
      </c>
    </row>
    <row r="85" spans="1:7" x14ac:dyDescent="0.45">
      <c r="A85" t="s">
        <v>84</v>
      </c>
      <c r="B85">
        <v>0.87501299381256104</v>
      </c>
      <c r="C85">
        <v>0.87626296299999995</v>
      </c>
      <c r="D85">
        <v>0.88839650154113703</v>
      </c>
      <c r="E85">
        <v>0.89998781699999997</v>
      </c>
      <c r="F85">
        <v>0.84328901767730702</v>
      </c>
      <c r="G85">
        <v>0.85656058800000001</v>
      </c>
    </row>
    <row r="86" spans="1:7" x14ac:dyDescent="0.45">
      <c r="A86" t="s">
        <v>85</v>
      </c>
      <c r="B86">
        <v>0.827498018741607</v>
      </c>
      <c r="C86">
        <v>0.81299447999999996</v>
      </c>
      <c r="D86">
        <v>0.58134281635284402</v>
      </c>
      <c r="E86">
        <v>0.60822784900000004</v>
      </c>
      <c r="F86">
        <v>0.663299679756164</v>
      </c>
      <c r="G86">
        <v>0.67286592700000003</v>
      </c>
    </row>
    <row r="87" spans="1:7" x14ac:dyDescent="0.45">
      <c r="A87" t="s">
        <v>86</v>
      </c>
      <c r="B87">
        <v>0.93705761432647705</v>
      </c>
      <c r="C87">
        <v>0.93624949499999999</v>
      </c>
      <c r="D87">
        <v>0.92476129531860296</v>
      </c>
      <c r="E87">
        <v>0.93224501599999998</v>
      </c>
      <c r="F87">
        <v>0.76559925079345703</v>
      </c>
      <c r="G87">
        <v>0.76002800500000001</v>
      </c>
    </row>
    <row r="88" spans="1:7" x14ac:dyDescent="0.45">
      <c r="A88" t="s">
        <v>87</v>
      </c>
      <c r="B88">
        <v>0.95095336437225297</v>
      </c>
      <c r="C88">
        <v>0.96175283199999995</v>
      </c>
      <c r="D88">
        <v>0.94287252426147405</v>
      </c>
      <c r="E88">
        <v>0.95928877599999995</v>
      </c>
      <c r="F88">
        <v>0.90052229166030795</v>
      </c>
      <c r="G88">
        <v>0.92581319799999995</v>
      </c>
    </row>
    <row r="89" spans="1:7" x14ac:dyDescent="0.45">
      <c r="A89" t="s">
        <v>88</v>
      </c>
      <c r="B89">
        <v>0.901059210300445</v>
      </c>
      <c r="C89">
        <v>0.89589786500000002</v>
      </c>
      <c r="D89">
        <v>0.93323332071304299</v>
      </c>
      <c r="E89">
        <v>0.94613522299999997</v>
      </c>
      <c r="F89">
        <v>0.86181449890136697</v>
      </c>
      <c r="G89">
        <v>0.89091867199999997</v>
      </c>
    </row>
    <row r="90" spans="1:7" x14ac:dyDescent="0.45">
      <c r="A90" t="s">
        <v>89</v>
      </c>
      <c r="B90">
        <v>0.97272449731826705</v>
      </c>
      <c r="C90">
        <v>0.97387588000000003</v>
      </c>
      <c r="D90">
        <v>0.97127205133438099</v>
      </c>
      <c r="E90">
        <v>0.97391647100000001</v>
      </c>
      <c r="F90">
        <v>0.93881630897521895</v>
      </c>
      <c r="G90">
        <v>0.94173610200000002</v>
      </c>
    </row>
    <row r="91" spans="1:7" x14ac:dyDescent="0.45">
      <c r="A91" t="s">
        <v>90</v>
      </c>
      <c r="B91">
        <v>0.92180627584457397</v>
      </c>
      <c r="C91">
        <v>0.93876457199999996</v>
      </c>
      <c r="D91">
        <v>0.88921141624450595</v>
      </c>
      <c r="E91">
        <v>0.89100438400000004</v>
      </c>
      <c r="F91">
        <v>0.54282695055007901</v>
      </c>
      <c r="G91">
        <v>0.61321973799999996</v>
      </c>
    </row>
    <row r="92" spans="1:7" x14ac:dyDescent="0.45">
      <c r="A92" t="s">
        <v>91</v>
      </c>
      <c r="B92">
        <v>0.91823309659957797</v>
      </c>
      <c r="C92">
        <v>0.92786514799999997</v>
      </c>
      <c r="D92">
        <v>0.75328648090362504</v>
      </c>
      <c r="E92">
        <v>0.82531821699999997</v>
      </c>
      <c r="F92">
        <v>0.81176072359085005</v>
      </c>
      <c r="G92">
        <v>0.854673982</v>
      </c>
    </row>
    <row r="93" spans="1:7" x14ac:dyDescent="0.45">
      <c r="A93" t="s">
        <v>92</v>
      </c>
      <c r="B93">
        <v>0.95988976955413796</v>
      </c>
      <c r="C93">
        <v>0.96537429100000005</v>
      </c>
      <c r="D93">
        <v>0.92463111877441395</v>
      </c>
      <c r="E93">
        <v>0.95642268699999999</v>
      </c>
      <c r="F93">
        <v>0.85898792743682795</v>
      </c>
      <c r="G93">
        <v>0.87184405300000001</v>
      </c>
    </row>
    <row r="94" spans="1:7" x14ac:dyDescent="0.45">
      <c r="A94" t="s">
        <v>93</v>
      </c>
      <c r="B94">
        <v>0.95871007442474299</v>
      </c>
      <c r="C94">
        <v>0.95796448000000001</v>
      </c>
      <c r="D94">
        <v>0.57340800762176503</v>
      </c>
      <c r="E94">
        <v>0.75963926299999995</v>
      </c>
      <c r="F94">
        <v>0.85526829957962003</v>
      </c>
      <c r="G94">
        <v>0.88336753800000001</v>
      </c>
    </row>
    <row r="95" spans="1:7" x14ac:dyDescent="0.45">
      <c r="A95" t="s">
        <v>94</v>
      </c>
      <c r="B95">
        <v>0.94181567430496205</v>
      </c>
      <c r="C95">
        <v>0.93077921900000005</v>
      </c>
      <c r="D95">
        <v>0.96586495637893599</v>
      </c>
      <c r="E95">
        <v>0.96603298199999998</v>
      </c>
      <c r="F95">
        <v>0.91401338577270497</v>
      </c>
      <c r="G95">
        <v>0.91028064500000005</v>
      </c>
    </row>
    <row r="96" spans="1:7" x14ac:dyDescent="0.45">
      <c r="A96" t="s">
        <v>95</v>
      </c>
      <c r="B96">
        <v>0.90629911422729403</v>
      </c>
      <c r="C96">
        <v>0.92125862800000002</v>
      </c>
      <c r="D96">
        <v>0.95962208509445102</v>
      </c>
      <c r="E96">
        <v>0.96046352400000001</v>
      </c>
      <c r="F96">
        <v>0.89974737167358398</v>
      </c>
      <c r="G96">
        <v>0.90109819199999996</v>
      </c>
    </row>
    <row r="97" spans="1:7" x14ac:dyDescent="0.45">
      <c r="A97" t="s">
        <v>96</v>
      </c>
      <c r="B97">
        <v>0.91774433851241999</v>
      </c>
      <c r="C97">
        <v>0.91560411500000005</v>
      </c>
      <c r="D97">
        <v>0.84186244010925204</v>
      </c>
      <c r="E97">
        <v>0.84918099599999997</v>
      </c>
      <c r="F97">
        <v>0.76423037052154497</v>
      </c>
      <c r="G97">
        <v>0.77748388099999999</v>
      </c>
    </row>
    <row r="98" spans="1:7" x14ac:dyDescent="0.45">
      <c r="A98" t="s">
        <v>97</v>
      </c>
      <c r="B98">
        <v>0.70512962341308505</v>
      </c>
      <c r="C98">
        <v>0.74009382700000004</v>
      </c>
      <c r="D98">
        <v>0.89511328935623102</v>
      </c>
      <c r="E98">
        <v>0.90334075700000005</v>
      </c>
      <c r="F98">
        <v>0.86873650550842196</v>
      </c>
      <c r="G98">
        <v>0.87313205000000005</v>
      </c>
    </row>
    <row r="99" spans="1:7" x14ac:dyDescent="0.45">
      <c r="A99" t="s">
        <v>98</v>
      </c>
      <c r="B99">
        <v>0.86308801174163796</v>
      </c>
      <c r="C99">
        <v>0.83967029999999998</v>
      </c>
      <c r="D99">
        <v>0.92359018325805597</v>
      </c>
      <c r="E99">
        <v>0.92986196300000001</v>
      </c>
      <c r="F99">
        <v>0.84473437070846502</v>
      </c>
      <c r="G99">
        <v>0.85855841600000005</v>
      </c>
    </row>
    <row r="100" spans="1:7" x14ac:dyDescent="0.45">
      <c r="A100" t="s">
        <v>99</v>
      </c>
      <c r="B100">
        <v>0.95356696844100897</v>
      </c>
      <c r="C100">
        <v>0.95844745600000003</v>
      </c>
      <c r="D100">
        <v>0.94263076782226496</v>
      </c>
      <c r="E100">
        <v>0.94689696999999995</v>
      </c>
      <c r="F100">
        <v>0.91813921928405695</v>
      </c>
      <c r="G100">
        <v>0.92279273299999998</v>
      </c>
    </row>
    <row r="101" spans="1:7" x14ac:dyDescent="0.45">
      <c r="A101" t="s">
        <v>100</v>
      </c>
      <c r="B101">
        <v>0.95122718811035101</v>
      </c>
      <c r="C101">
        <v>0.95202750000000003</v>
      </c>
      <c r="D101">
        <v>0.96625453233718805</v>
      </c>
      <c r="E101">
        <v>0.96718978899999997</v>
      </c>
      <c r="F101">
        <v>0.92798358201980502</v>
      </c>
      <c r="G101">
        <v>0.92991191100000004</v>
      </c>
    </row>
    <row r="102" spans="1:7" x14ac:dyDescent="0.45">
      <c r="A102" t="s">
        <v>101</v>
      </c>
      <c r="B102">
        <v>0.95035421848297097</v>
      </c>
      <c r="C102">
        <v>0.95216625899999996</v>
      </c>
      <c r="D102">
        <v>0.95345956087112405</v>
      </c>
      <c r="E102">
        <v>0.95470988800000001</v>
      </c>
      <c r="F102">
        <v>0.91975802183151201</v>
      </c>
      <c r="G102">
        <v>0.92044812399999998</v>
      </c>
    </row>
    <row r="103" spans="1:7" x14ac:dyDescent="0.45">
      <c r="A103" t="s">
        <v>102</v>
      </c>
      <c r="B103">
        <v>0.92074286937713601</v>
      </c>
      <c r="C103">
        <v>0.923716545</v>
      </c>
      <c r="D103">
        <v>0.96519589424133301</v>
      </c>
      <c r="E103">
        <v>0.96690082600000005</v>
      </c>
      <c r="F103">
        <v>0.92444157600402799</v>
      </c>
      <c r="G103">
        <v>0.92571908199999997</v>
      </c>
    </row>
    <row r="104" spans="1:7" x14ac:dyDescent="0.45">
      <c r="A104" t="s">
        <v>103</v>
      </c>
      <c r="B104">
        <v>0.95055466890335005</v>
      </c>
      <c r="C104">
        <v>0.95863902599999995</v>
      </c>
      <c r="D104">
        <v>0.96994394063949496</v>
      </c>
      <c r="E104">
        <v>0.97507238399999996</v>
      </c>
      <c r="F104">
        <v>0.90640294551849299</v>
      </c>
      <c r="G104">
        <v>0.91359478199999999</v>
      </c>
    </row>
    <row r="105" spans="1:7" x14ac:dyDescent="0.45">
      <c r="A105" t="s">
        <v>104</v>
      </c>
      <c r="B105">
        <v>0.89490991830825795</v>
      </c>
      <c r="C105">
        <v>0.83050847100000003</v>
      </c>
      <c r="D105">
        <v>0.66197180747985795</v>
      </c>
      <c r="E105">
        <v>0.72432434599999995</v>
      </c>
      <c r="F105">
        <v>0.64604812860488803</v>
      </c>
      <c r="G105">
        <v>0.71823203599999996</v>
      </c>
    </row>
    <row r="106" spans="1:7" x14ac:dyDescent="0.45">
      <c r="A106" t="s">
        <v>105</v>
      </c>
      <c r="B106">
        <v>0.96898764371871904</v>
      </c>
      <c r="C106">
        <v>0.97149145599999998</v>
      </c>
      <c r="D106">
        <v>0.96730077266693104</v>
      </c>
      <c r="E106">
        <v>0.96818661699999997</v>
      </c>
      <c r="F106">
        <v>0.90992259979248002</v>
      </c>
      <c r="G106">
        <v>0.91212809100000003</v>
      </c>
    </row>
    <row r="107" spans="1:7" x14ac:dyDescent="0.45">
      <c r="A107" t="s">
        <v>106</v>
      </c>
      <c r="B107">
        <v>0.80207395553588801</v>
      </c>
      <c r="C107">
        <v>0.69478410499999999</v>
      </c>
      <c r="D107">
        <v>0.88133138418197599</v>
      </c>
      <c r="E107">
        <v>0.84641069199999996</v>
      </c>
      <c r="F107">
        <v>0.84283512830734197</v>
      </c>
      <c r="G107">
        <v>0.80744189</v>
      </c>
    </row>
    <row r="108" spans="1:7" x14ac:dyDescent="0.45">
      <c r="A108" t="s">
        <v>107</v>
      </c>
      <c r="B108">
        <v>0.82724404335021895</v>
      </c>
      <c r="C108">
        <v>0.827130437</v>
      </c>
      <c r="D108">
        <v>0.80394798517227095</v>
      </c>
      <c r="E108">
        <v>0.79874777799999996</v>
      </c>
      <c r="F108">
        <v>0.77932959794998102</v>
      </c>
      <c r="G108">
        <v>0.77783131599999999</v>
      </c>
    </row>
    <row r="109" spans="1:7" x14ac:dyDescent="0.45">
      <c r="A109" t="s">
        <v>108</v>
      </c>
      <c r="B109">
        <v>0.96692901849746704</v>
      </c>
      <c r="C109">
        <v>0.97038477700000003</v>
      </c>
      <c r="D109">
        <v>0.97206413745880105</v>
      </c>
      <c r="E109">
        <v>0.97152882799999996</v>
      </c>
      <c r="F109">
        <v>0.93383437395095803</v>
      </c>
      <c r="G109">
        <v>0.93377006100000004</v>
      </c>
    </row>
    <row r="110" spans="1:7" x14ac:dyDescent="0.45">
      <c r="A110" t="s">
        <v>109</v>
      </c>
      <c r="B110">
        <v>0.92766523361205999</v>
      </c>
      <c r="C110">
        <v>0.92219203699999996</v>
      </c>
      <c r="D110">
        <v>0.95559179782867398</v>
      </c>
      <c r="E110">
        <v>0.95300054599999995</v>
      </c>
      <c r="F110">
        <v>0.89706349372863703</v>
      </c>
      <c r="G110">
        <v>0.89185077000000001</v>
      </c>
    </row>
    <row r="111" spans="1:7" x14ac:dyDescent="0.45">
      <c r="A111" t="s">
        <v>110</v>
      </c>
      <c r="B111">
        <v>0.88571262359619096</v>
      </c>
      <c r="C111">
        <v>0.89142787499999998</v>
      </c>
      <c r="D111">
        <v>0.906685650348663</v>
      </c>
      <c r="E111">
        <v>0.92154812799999997</v>
      </c>
      <c r="F111">
        <v>0.81423747539520197</v>
      </c>
      <c r="G111">
        <v>0.83305436399999999</v>
      </c>
    </row>
    <row r="112" spans="1:7" x14ac:dyDescent="0.45">
      <c r="A112" t="s">
        <v>111</v>
      </c>
      <c r="B112">
        <v>0.88685834407806396</v>
      </c>
      <c r="C112">
        <v>0.89193606400000003</v>
      </c>
      <c r="D112">
        <v>0.15619693696498799</v>
      </c>
      <c r="E112">
        <v>0.13664595800000001</v>
      </c>
      <c r="F112">
        <v>0.154676258563995</v>
      </c>
      <c r="G112">
        <v>0.135306552</v>
      </c>
    </row>
    <row r="113" spans="1:7" x14ac:dyDescent="0.45">
      <c r="A113" t="s">
        <v>112</v>
      </c>
      <c r="B113">
        <v>0.89992278814315796</v>
      </c>
      <c r="C113">
        <v>0.88742107199999998</v>
      </c>
      <c r="D113">
        <v>0.96696734428405695</v>
      </c>
      <c r="E113">
        <v>0.97209888700000002</v>
      </c>
      <c r="F113">
        <v>0.94897806644439697</v>
      </c>
      <c r="G113">
        <v>0.95353657000000003</v>
      </c>
    </row>
    <row r="114" spans="1:7" x14ac:dyDescent="0.45">
      <c r="A114" t="s">
        <v>113</v>
      </c>
      <c r="B114">
        <v>0.96689176559448198</v>
      </c>
      <c r="C114">
        <v>0.96913355599999995</v>
      </c>
      <c r="D114">
        <v>0.95661884546279896</v>
      </c>
      <c r="E114">
        <v>0.96041530399999997</v>
      </c>
      <c r="F114">
        <v>0.91409653425216597</v>
      </c>
      <c r="G114">
        <v>0.91713106600000005</v>
      </c>
    </row>
    <row r="115" spans="1:7" x14ac:dyDescent="0.45">
      <c r="A115" t="s">
        <v>114</v>
      </c>
      <c r="B115">
        <v>0.95048999786376898</v>
      </c>
      <c r="C115">
        <v>0.95512235199999995</v>
      </c>
      <c r="D115">
        <v>0.96597123146057096</v>
      </c>
      <c r="E115">
        <v>0.96973669500000004</v>
      </c>
      <c r="F115">
        <v>0.90590071678161599</v>
      </c>
      <c r="G115">
        <v>0.91306900999999996</v>
      </c>
    </row>
    <row r="116" spans="1:7" x14ac:dyDescent="0.45">
      <c r="A116" t="s">
        <v>115</v>
      </c>
      <c r="B116">
        <v>0.953979551792144</v>
      </c>
      <c r="C116">
        <v>0.95400619499999995</v>
      </c>
      <c r="D116">
        <v>0.95727503299713101</v>
      </c>
      <c r="E116">
        <v>0.95828169600000002</v>
      </c>
      <c r="F116">
        <v>0.91627264022827104</v>
      </c>
      <c r="G116">
        <v>0.91896808100000005</v>
      </c>
    </row>
    <row r="117" spans="1:7" x14ac:dyDescent="0.45">
      <c r="A117" t="s">
        <v>116</v>
      </c>
      <c r="B117">
        <v>0.94017791748046797</v>
      </c>
      <c r="C117">
        <v>0.94022440900000004</v>
      </c>
      <c r="D117">
        <v>0.81765049695968595</v>
      </c>
      <c r="E117">
        <v>0.82207083700000005</v>
      </c>
      <c r="F117">
        <v>0.71310126781463601</v>
      </c>
      <c r="G117">
        <v>0.72463977300000004</v>
      </c>
    </row>
    <row r="118" spans="1:7" x14ac:dyDescent="0.45">
      <c r="A118" t="s">
        <v>117</v>
      </c>
      <c r="B118">
        <v>0.934933722019195</v>
      </c>
      <c r="C118">
        <v>0.93577587600000001</v>
      </c>
      <c r="D118">
        <v>0.96341460943222001</v>
      </c>
      <c r="E118">
        <v>0.96583735900000001</v>
      </c>
      <c r="F118">
        <v>0.90022498369216897</v>
      </c>
      <c r="G118">
        <v>0.90546375499999998</v>
      </c>
    </row>
    <row r="119" spans="1:7" x14ac:dyDescent="0.45">
      <c r="A119" t="s">
        <v>118</v>
      </c>
      <c r="B119">
        <v>0.92809510231018</v>
      </c>
      <c r="C119">
        <v>0.93020778900000001</v>
      </c>
      <c r="D119">
        <v>0.88103771209716797</v>
      </c>
      <c r="E119">
        <v>0.89817416699999997</v>
      </c>
      <c r="F119">
        <v>0.84712839126586903</v>
      </c>
      <c r="G119">
        <v>0.86815142599999995</v>
      </c>
    </row>
    <row r="120" spans="1:7" x14ac:dyDescent="0.45">
      <c r="A120" t="s">
        <v>119</v>
      </c>
      <c r="B120">
        <v>0.94773322343826205</v>
      </c>
      <c r="C120">
        <v>0.94918745800000004</v>
      </c>
      <c r="D120">
        <v>0.96216571331024103</v>
      </c>
      <c r="E120">
        <v>0.957932055</v>
      </c>
      <c r="F120">
        <v>0.93828415870666504</v>
      </c>
      <c r="G120">
        <v>0.93425643400000002</v>
      </c>
    </row>
    <row r="121" spans="1:7" x14ac:dyDescent="0.45">
      <c r="A121" t="s">
        <v>120</v>
      </c>
      <c r="B121">
        <v>0.95032232999801602</v>
      </c>
      <c r="C121">
        <v>0.95709085500000002</v>
      </c>
      <c r="D121">
        <v>0.93832862377166704</v>
      </c>
      <c r="E121">
        <v>0.94445425299999997</v>
      </c>
      <c r="F121">
        <v>0.87611341476440396</v>
      </c>
      <c r="G121">
        <v>0.88436710799999996</v>
      </c>
    </row>
    <row r="122" spans="1:7" x14ac:dyDescent="0.45">
      <c r="A122" t="s">
        <v>121</v>
      </c>
      <c r="B122">
        <v>0.95625025033950795</v>
      </c>
      <c r="C122">
        <v>0.95938235500000002</v>
      </c>
      <c r="D122">
        <v>0.96642684936523404</v>
      </c>
      <c r="E122">
        <v>0.96597671500000004</v>
      </c>
      <c r="F122">
        <v>0.93109369277954102</v>
      </c>
      <c r="G122">
        <v>0.93038248999999995</v>
      </c>
    </row>
    <row r="123" spans="1:7" x14ac:dyDescent="0.45">
      <c r="A123" t="s">
        <v>122</v>
      </c>
      <c r="B123">
        <v>0.96487313508987405</v>
      </c>
      <c r="C123">
        <v>0.96610641500000005</v>
      </c>
      <c r="D123">
        <v>0.95615369081497104</v>
      </c>
      <c r="E123">
        <v>0.96476930400000005</v>
      </c>
      <c r="F123">
        <v>0.90588003396987904</v>
      </c>
      <c r="G123">
        <v>0.92299753399999995</v>
      </c>
    </row>
    <row r="124" spans="1:7" x14ac:dyDescent="0.45">
      <c r="A124" t="s">
        <v>123</v>
      </c>
      <c r="B124">
        <v>0.959184169769287</v>
      </c>
      <c r="C124">
        <v>0.95777749999999995</v>
      </c>
      <c r="D124">
        <v>0.95420455932617099</v>
      </c>
      <c r="E124">
        <v>0.95360148</v>
      </c>
      <c r="F124">
        <v>0.856220602989196</v>
      </c>
      <c r="G124">
        <v>0.87256240799999996</v>
      </c>
    </row>
    <row r="125" spans="1:7" x14ac:dyDescent="0.45">
      <c r="A125" t="s">
        <v>124</v>
      </c>
      <c r="B125">
        <v>0.91357105970382602</v>
      </c>
      <c r="C125">
        <v>0.91899991000000003</v>
      </c>
      <c r="D125">
        <v>0.831487596035003</v>
      </c>
      <c r="E125">
        <v>0.83951330199999996</v>
      </c>
      <c r="F125">
        <v>0.80885952711105302</v>
      </c>
      <c r="G125">
        <v>0.80893272199999999</v>
      </c>
    </row>
    <row r="126" spans="1:7" x14ac:dyDescent="0.45">
      <c r="A126" t="s">
        <v>125</v>
      </c>
      <c r="B126">
        <v>0.88625961542129505</v>
      </c>
      <c r="C126">
        <v>0.89035361999999996</v>
      </c>
      <c r="D126">
        <v>0.83370715379714899</v>
      </c>
      <c r="E126">
        <v>0.84245932099999998</v>
      </c>
      <c r="F126">
        <v>0.63886624574661199</v>
      </c>
      <c r="G126">
        <v>0.67684560999999999</v>
      </c>
    </row>
    <row r="127" spans="1:7" x14ac:dyDescent="0.45">
      <c r="A127" t="s">
        <v>126</v>
      </c>
      <c r="B127">
        <v>0.92809754610061601</v>
      </c>
      <c r="C127">
        <v>0.93551361600000005</v>
      </c>
      <c r="D127">
        <v>0.95977687835693304</v>
      </c>
      <c r="E127">
        <v>0.96256148799999997</v>
      </c>
      <c r="F127">
        <v>0.91795384883880604</v>
      </c>
      <c r="G127">
        <v>0.92193132600000005</v>
      </c>
    </row>
    <row r="128" spans="1:7" x14ac:dyDescent="0.45">
      <c r="A128" t="s">
        <v>127</v>
      </c>
      <c r="B128">
        <v>0.93443524837493896</v>
      </c>
      <c r="C128">
        <v>0.93556439899999999</v>
      </c>
      <c r="D128">
        <v>0.95483869314193703</v>
      </c>
      <c r="E128">
        <v>0.956091523</v>
      </c>
      <c r="F128">
        <v>0.93667364120483398</v>
      </c>
      <c r="G128">
        <v>0.92798280700000002</v>
      </c>
    </row>
    <row r="129" spans="1:7" x14ac:dyDescent="0.45">
      <c r="A129" t="s">
        <v>128</v>
      </c>
      <c r="B129">
        <v>0.96326094865798895</v>
      </c>
      <c r="C129">
        <v>0.96474307800000003</v>
      </c>
      <c r="D129">
        <v>0.95962613821029596</v>
      </c>
      <c r="E129">
        <v>0.96408110899999999</v>
      </c>
      <c r="F129">
        <v>0.92299759387969904</v>
      </c>
      <c r="G129">
        <v>0.92676395199999995</v>
      </c>
    </row>
    <row r="130" spans="1:7" x14ac:dyDescent="0.45">
      <c r="A130" t="s">
        <v>129</v>
      </c>
      <c r="B130">
        <v>0.96942478418350198</v>
      </c>
      <c r="C130">
        <v>0.967290223</v>
      </c>
      <c r="D130">
        <v>0.97228538990020696</v>
      </c>
      <c r="E130">
        <v>0.97266584599999995</v>
      </c>
      <c r="F130">
        <v>0.92052286863327004</v>
      </c>
      <c r="G130">
        <v>0.91924744800000002</v>
      </c>
    </row>
    <row r="131" spans="1:7" x14ac:dyDescent="0.45">
      <c r="A131" t="s">
        <v>130</v>
      </c>
      <c r="B131">
        <v>0.95588970184326105</v>
      </c>
      <c r="C131">
        <v>0.95453470900000004</v>
      </c>
      <c r="D131">
        <v>0.96578902006149203</v>
      </c>
      <c r="E131">
        <v>0.96786779199999995</v>
      </c>
      <c r="F131">
        <v>0.95439881086349398</v>
      </c>
      <c r="G131">
        <v>0.953796804</v>
      </c>
    </row>
    <row r="132" spans="1:7" x14ac:dyDescent="0.45">
      <c r="A132" t="s">
        <v>131</v>
      </c>
      <c r="B132">
        <v>0.93050295114517201</v>
      </c>
      <c r="C132">
        <v>0.93454432499999995</v>
      </c>
      <c r="D132">
        <v>0.95088666677474898</v>
      </c>
      <c r="E132">
        <v>0.95399791</v>
      </c>
      <c r="F132">
        <v>0.85798144340515103</v>
      </c>
      <c r="G132">
        <v>0.86825853600000003</v>
      </c>
    </row>
    <row r="133" spans="1:7" x14ac:dyDescent="0.45">
      <c r="A133" t="s">
        <v>132</v>
      </c>
      <c r="B133">
        <v>0.86958193778991699</v>
      </c>
      <c r="C133">
        <v>0.85339957499999997</v>
      </c>
      <c r="D133">
        <v>0.85570865869522095</v>
      </c>
      <c r="E133">
        <v>0.81091701999999999</v>
      </c>
      <c r="F133">
        <v>0.75822520256042403</v>
      </c>
      <c r="G133">
        <v>0.78298407800000003</v>
      </c>
    </row>
    <row r="134" spans="1:7" x14ac:dyDescent="0.45">
      <c r="A134" t="s">
        <v>133</v>
      </c>
      <c r="B134">
        <v>0.87643808126449496</v>
      </c>
      <c r="C134">
        <v>0.88599842799999995</v>
      </c>
      <c r="D134">
        <v>0.45945337414741499</v>
      </c>
      <c r="E134">
        <v>0.330137968</v>
      </c>
      <c r="F134">
        <v>0.81302523612975997</v>
      </c>
      <c r="G134">
        <v>0.84465479899999996</v>
      </c>
    </row>
    <row r="135" spans="1:7" x14ac:dyDescent="0.45">
      <c r="A135" t="s">
        <v>134</v>
      </c>
      <c r="B135">
        <v>0.94585746526718095</v>
      </c>
      <c r="C135">
        <v>0.94492363899999998</v>
      </c>
      <c r="D135">
        <v>0.95625084638595503</v>
      </c>
      <c r="E135">
        <v>0.95679092399999999</v>
      </c>
      <c r="F135">
        <v>0.9102783203125</v>
      </c>
      <c r="G135">
        <v>0.91273480699999998</v>
      </c>
    </row>
    <row r="136" spans="1:7" x14ac:dyDescent="0.45">
      <c r="A136" t="s">
        <v>135</v>
      </c>
      <c r="B136">
        <v>0.91069853305816595</v>
      </c>
      <c r="C136">
        <v>0.92373067099999995</v>
      </c>
      <c r="D136">
        <v>0.95708447694778398</v>
      </c>
      <c r="E136">
        <v>0.96057128899999999</v>
      </c>
      <c r="F136">
        <v>0.87772363424301103</v>
      </c>
      <c r="G136">
        <v>0.88365995900000005</v>
      </c>
    </row>
    <row r="137" spans="1:7" x14ac:dyDescent="0.45">
      <c r="A137" t="s">
        <v>136</v>
      </c>
      <c r="B137">
        <v>0.92205446958541804</v>
      </c>
      <c r="C137">
        <v>0.92273729999999998</v>
      </c>
      <c r="D137">
        <v>0.95508539676666204</v>
      </c>
      <c r="E137">
        <v>0.95553541200000003</v>
      </c>
      <c r="F137">
        <v>0.89580142498016302</v>
      </c>
      <c r="G137">
        <v>0.90241998400000001</v>
      </c>
    </row>
    <row r="138" spans="1:7" x14ac:dyDescent="0.45">
      <c r="A138" t="s">
        <v>137</v>
      </c>
      <c r="B138">
        <v>0.93158471584320002</v>
      </c>
      <c r="C138">
        <v>0.93751543800000003</v>
      </c>
      <c r="D138">
        <v>0.94378232955932595</v>
      </c>
      <c r="E138">
        <v>0.95400226099999996</v>
      </c>
      <c r="F138">
        <v>0.87762230634689298</v>
      </c>
      <c r="G138">
        <v>0.89030379100000001</v>
      </c>
    </row>
    <row r="139" spans="1:7" x14ac:dyDescent="0.45">
      <c r="A139" t="s">
        <v>138</v>
      </c>
      <c r="B139">
        <v>0.93672466278076105</v>
      </c>
      <c r="C139">
        <v>0.93887972799999997</v>
      </c>
      <c r="D139">
        <v>0.96700584888458196</v>
      </c>
      <c r="E139">
        <v>0.964696467</v>
      </c>
      <c r="F139">
        <v>0.90414100885391202</v>
      </c>
      <c r="G139">
        <v>0.90516418200000004</v>
      </c>
    </row>
    <row r="140" spans="1:7" x14ac:dyDescent="0.45">
      <c r="A140" t="s">
        <v>139</v>
      </c>
      <c r="B140">
        <v>0.90925931930541903</v>
      </c>
      <c r="C140">
        <v>0.91988325100000001</v>
      </c>
      <c r="D140">
        <v>0.94982200860977095</v>
      </c>
      <c r="E140">
        <v>0.95243418199999996</v>
      </c>
      <c r="F140">
        <v>0.94616013765335005</v>
      </c>
      <c r="G140">
        <v>0.95005852000000002</v>
      </c>
    </row>
    <row r="141" spans="1:7" x14ac:dyDescent="0.45">
      <c r="A141" t="s">
        <v>140</v>
      </c>
      <c r="B141">
        <v>0.86133164167404097</v>
      </c>
      <c r="C141">
        <v>0.86262786400000002</v>
      </c>
      <c r="D141">
        <v>0.85451120138168302</v>
      </c>
      <c r="E141">
        <v>0.86063361199999999</v>
      </c>
      <c r="F141">
        <v>0.712835252285003</v>
      </c>
      <c r="G141">
        <v>0.726112902</v>
      </c>
    </row>
    <row r="142" spans="1:7" x14ac:dyDescent="0.45">
      <c r="A142" t="s">
        <v>141</v>
      </c>
      <c r="B142">
        <v>0.91654920578002896</v>
      </c>
      <c r="C142">
        <v>0.93429934999999997</v>
      </c>
      <c r="D142">
        <v>0.94872170686721802</v>
      </c>
      <c r="E142">
        <v>0.95114606599999996</v>
      </c>
      <c r="F142">
        <v>0.91975933313369695</v>
      </c>
      <c r="G142">
        <v>0.93222731400000003</v>
      </c>
    </row>
    <row r="143" spans="1:7" x14ac:dyDescent="0.45">
      <c r="A143" t="s">
        <v>142</v>
      </c>
      <c r="B143">
        <v>0.95964002609252896</v>
      </c>
      <c r="C143">
        <v>0.95848655699999996</v>
      </c>
      <c r="D143">
        <v>0.96836358308792103</v>
      </c>
      <c r="E143">
        <v>0.96954757000000003</v>
      </c>
      <c r="F143">
        <v>0.92270380258560103</v>
      </c>
      <c r="G143">
        <v>0.92942327300000005</v>
      </c>
    </row>
    <row r="144" spans="1:7" x14ac:dyDescent="0.45">
      <c r="A144" t="s">
        <v>143</v>
      </c>
      <c r="B144">
        <v>0.88672912120819003</v>
      </c>
      <c r="C144">
        <v>0.89178657500000003</v>
      </c>
      <c r="D144">
        <v>0.91653895378112704</v>
      </c>
      <c r="E144">
        <v>0.94464778900000002</v>
      </c>
      <c r="F144">
        <v>0.93638634681701605</v>
      </c>
      <c r="G144">
        <v>0.95009434199999998</v>
      </c>
    </row>
    <row r="145" spans="1:7" x14ac:dyDescent="0.45">
      <c r="A145" t="s">
        <v>144</v>
      </c>
      <c r="B145">
        <v>0.93264871835708596</v>
      </c>
      <c r="C145">
        <v>0.93209588499999996</v>
      </c>
      <c r="D145">
        <v>0.93103647232055597</v>
      </c>
      <c r="E145">
        <v>0.93416577599999995</v>
      </c>
      <c r="F145">
        <v>0.84178638458251898</v>
      </c>
      <c r="G145">
        <v>0.84796011400000004</v>
      </c>
    </row>
    <row r="146" spans="1:7" x14ac:dyDescent="0.45">
      <c r="A146" t="s">
        <v>145</v>
      </c>
      <c r="B146">
        <v>0.96454471349716098</v>
      </c>
      <c r="C146">
        <v>0.96706831500000001</v>
      </c>
      <c r="D146">
        <v>0.96601468324661199</v>
      </c>
      <c r="E146">
        <v>0.96559459000000003</v>
      </c>
      <c r="F146">
        <v>0.95708173513412398</v>
      </c>
      <c r="G146">
        <v>0.95341974500000004</v>
      </c>
    </row>
    <row r="147" spans="1:7" x14ac:dyDescent="0.45">
      <c r="A147" t="s">
        <v>146</v>
      </c>
      <c r="B147">
        <v>0.95359855890274003</v>
      </c>
      <c r="C147">
        <v>0.95431286100000001</v>
      </c>
      <c r="D147">
        <v>0.96401268243789595</v>
      </c>
      <c r="E147">
        <v>0.96765232099999998</v>
      </c>
      <c r="F147">
        <v>0.81000441312789895</v>
      </c>
      <c r="G147">
        <v>0.82368880499999997</v>
      </c>
    </row>
    <row r="148" spans="1:7" x14ac:dyDescent="0.45">
      <c r="A148" t="s">
        <v>147</v>
      </c>
      <c r="B148">
        <v>0.96910911798477095</v>
      </c>
      <c r="C148">
        <v>0.96938669700000002</v>
      </c>
      <c r="D148">
        <v>0.93813234567642201</v>
      </c>
      <c r="E148">
        <v>0.93588674100000002</v>
      </c>
      <c r="F148">
        <v>0.87534260749816895</v>
      </c>
      <c r="G148">
        <v>0.87649708999999998</v>
      </c>
    </row>
    <row r="149" spans="1:7" x14ac:dyDescent="0.45">
      <c r="A149" t="s">
        <v>148</v>
      </c>
      <c r="B149">
        <v>0.936692655086517</v>
      </c>
      <c r="C149">
        <v>0.93723314999999996</v>
      </c>
      <c r="D149">
        <v>0.97094941139221103</v>
      </c>
      <c r="E149">
        <v>0.97149813200000001</v>
      </c>
      <c r="F149">
        <v>0.90813905000686601</v>
      </c>
      <c r="G149">
        <v>0.91529262099999997</v>
      </c>
    </row>
    <row r="150" spans="1:7" x14ac:dyDescent="0.45">
      <c r="A150" t="s">
        <v>149</v>
      </c>
      <c r="B150">
        <v>0.62478417158126798</v>
      </c>
      <c r="C150">
        <v>0.68852877599999995</v>
      </c>
      <c r="D150">
        <v>0.89195197820663397</v>
      </c>
      <c r="E150">
        <v>0.89692586699999999</v>
      </c>
      <c r="F150">
        <v>0.85843372344970703</v>
      </c>
      <c r="G150">
        <v>0.86040478899999995</v>
      </c>
    </row>
    <row r="151" spans="1:7" x14ac:dyDescent="0.45">
      <c r="A151" t="s">
        <v>150</v>
      </c>
      <c r="B151">
        <v>0.92673718929290705</v>
      </c>
      <c r="C151">
        <v>0.92687129999999995</v>
      </c>
      <c r="D151">
        <v>0.96350467205047596</v>
      </c>
      <c r="E151">
        <v>0.96146547800000004</v>
      </c>
      <c r="F151">
        <v>0.91537952423095703</v>
      </c>
      <c r="G151">
        <v>0.91107368499999997</v>
      </c>
    </row>
    <row r="152" spans="1:7" x14ac:dyDescent="0.45">
      <c r="A152" t="s">
        <v>151</v>
      </c>
      <c r="B152">
        <v>0.95748263597488403</v>
      </c>
      <c r="C152">
        <v>0.96103018500000004</v>
      </c>
      <c r="D152">
        <v>0.96075838804244995</v>
      </c>
      <c r="E152">
        <v>0.95418572400000001</v>
      </c>
      <c r="F152">
        <v>0.94297206401824896</v>
      </c>
      <c r="G152">
        <v>0.92511731399999997</v>
      </c>
    </row>
    <row r="153" spans="1:7" x14ac:dyDescent="0.45">
      <c r="A153" t="s">
        <v>152</v>
      </c>
      <c r="B153">
        <v>0.94264543056488004</v>
      </c>
      <c r="C153">
        <v>0.94324314600000003</v>
      </c>
      <c r="D153">
        <v>0.945992171764373</v>
      </c>
      <c r="E153">
        <v>0.94873517799999996</v>
      </c>
      <c r="F153">
        <v>0.89404261112213101</v>
      </c>
      <c r="G153">
        <v>0.89978325400000003</v>
      </c>
    </row>
    <row r="154" spans="1:7" x14ac:dyDescent="0.45">
      <c r="A154" t="s">
        <v>153</v>
      </c>
      <c r="B154">
        <v>0.939547538757324</v>
      </c>
      <c r="C154">
        <v>0.94249188900000003</v>
      </c>
      <c r="D154">
        <v>0.95811247825622503</v>
      </c>
      <c r="E154">
        <v>0.95569568900000001</v>
      </c>
      <c r="F154">
        <v>0.92182314395904497</v>
      </c>
      <c r="G154">
        <v>0.919058979</v>
      </c>
    </row>
    <row r="155" spans="1:7" x14ac:dyDescent="0.45">
      <c r="A155" t="s">
        <v>154</v>
      </c>
      <c r="B155">
        <v>0.94630205631256104</v>
      </c>
      <c r="C155">
        <v>0.94705992900000002</v>
      </c>
      <c r="D155">
        <v>0.97131884098052901</v>
      </c>
      <c r="E155">
        <v>0.97246450200000001</v>
      </c>
      <c r="F155">
        <v>0.89855635166168202</v>
      </c>
      <c r="G155">
        <v>0.90397077800000003</v>
      </c>
    </row>
    <row r="156" spans="1:7" x14ac:dyDescent="0.45">
      <c r="A156" t="s">
        <v>155</v>
      </c>
      <c r="B156">
        <v>0.91876333951949996</v>
      </c>
      <c r="C156">
        <v>0.91796040499999998</v>
      </c>
      <c r="D156">
        <v>0.93762630224227905</v>
      </c>
      <c r="E156">
        <v>0.93398231300000001</v>
      </c>
      <c r="F156">
        <v>0.85382497310638406</v>
      </c>
      <c r="G156">
        <v>0.84297734499999999</v>
      </c>
    </row>
    <row r="157" spans="1:7" x14ac:dyDescent="0.45">
      <c r="A157" t="s">
        <v>156</v>
      </c>
      <c r="B157">
        <v>0.826174616813659</v>
      </c>
      <c r="C157">
        <v>0.83260816299999996</v>
      </c>
      <c r="D157">
        <v>0.92790168523788397</v>
      </c>
      <c r="E157">
        <v>0.93300223400000004</v>
      </c>
      <c r="F157">
        <v>0.86343139410018899</v>
      </c>
      <c r="G157">
        <v>0.866996408</v>
      </c>
    </row>
    <row r="158" spans="1:7" x14ac:dyDescent="0.45">
      <c r="A158" t="s">
        <v>157</v>
      </c>
      <c r="B158">
        <v>0.932178974151611</v>
      </c>
      <c r="C158">
        <v>0.93971794799999997</v>
      </c>
      <c r="D158">
        <v>0.76263183355331399</v>
      </c>
      <c r="E158">
        <v>0.78366231900000005</v>
      </c>
      <c r="F158" s="1">
        <v>2.82485879132821E-9</v>
      </c>
      <c r="G158" s="1">
        <v>9.3499999999999994E-9</v>
      </c>
    </row>
    <row r="159" spans="1:7" x14ac:dyDescent="0.45">
      <c r="A159" t="s">
        <v>158</v>
      </c>
      <c r="B159">
        <v>0.97209334373474099</v>
      </c>
      <c r="C159">
        <v>0.97466868200000001</v>
      </c>
      <c r="D159">
        <v>0.94212460517883301</v>
      </c>
      <c r="E159">
        <v>0.93743157399999999</v>
      </c>
      <c r="F159">
        <v>0.91957908868789595</v>
      </c>
      <c r="G159">
        <v>0.90142440800000001</v>
      </c>
    </row>
    <row r="160" spans="1:7" x14ac:dyDescent="0.45">
      <c r="A160" t="s">
        <v>159</v>
      </c>
      <c r="B160">
        <v>0.93858683109283403</v>
      </c>
      <c r="C160">
        <v>0.94462776199999998</v>
      </c>
      <c r="D160">
        <v>0.63383817672729403</v>
      </c>
      <c r="E160">
        <v>0.65421146200000002</v>
      </c>
      <c r="F160">
        <v>2.7032734826207098E-2</v>
      </c>
      <c r="G160">
        <v>4.1644420000000001E-2</v>
      </c>
    </row>
    <row r="161" spans="1:7" x14ac:dyDescent="0.45">
      <c r="A161" t="s">
        <v>160</v>
      </c>
      <c r="B161">
        <v>0.95147514343261697</v>
      </c>
      <c r="C161">
        <v>0.95447558200000004</v>
      </c>
      <c r="D161">
        <v>0.96008509397506703</v>
      </c>
      <c r="E161">
        <v>0.96613556099999998</v>
      </c>
      <c r="F161">
        <v>0.84844422340393</v>
      </c>
      <c r="G161">
        <v>0.87955546399999995</v>
      </c>
    </row>
    <row r="162" spans="1:7" x14ac:dyDescent="0.45">
      <c r="A162" t="s">
        <v>161</v>
      </c>
      <c r="B162">
        <v>0.91064774990081698</v>
      </c>
      <c r="C162">
        <v>0.91331553499999996</v>
      </c>
      <c r="D162">
        <v>0.865545153617858</v>
      </c>
      <c r="E162">
        <v>0.86688333699999998</v>
      </c>
      <c r="F162">
        <v>0.77591121196746804</v>
      </c>
      <c r="G162">
        <v>0.80664932700000003</v>
      </c>
    </row>
    <row r="163" spans="1:7" x14ac:dyDescent="0.45">
      <c r="A163" t="s">
        <v>162</v>
      </c>
      <c r="B163">
        <v>0.93800818920135498</v>
      </c>
      <c r="C163">
        <v>0.94408798199999999</v>
      </c>
      <c r="D163">
        <v>0.94862383604049605</v>
      </c>
      <c r="E163">
        <v>0.95002204199999996</v>
      </c>
      <c r="F163">
        <v>0.86655360460281305</v>
      </c>
      <c r="G163">
        <v>0.86907845699999997</v>
      </c>
    </row>
    <row r="164" spans="1:7" x14ac:dyDescent="0.45">
      <c r="A164" t="s">
        <v>163</v>
      </c>
      <c r="B164">
        <v>0.90694004297256403</v>
      </c>
      <c r="C164">
        <v>0.92221438899999997</v>
      </c>
      <c r="D164">
        <v>0.83004134893417303</v>
      </c>
      <c r="E164">
        <v>0.82682871800000002</v>
      </c>
      <c r="F164">
        <v>0.85952436923980702</v>
      </c>
      <c r="G164">
        <v>0.84519887000000005</v>
      </c>
    </row>
    <row r="165" spans="1:7" x14ac:dyDescent="0.45">
      <c r="A165" t="s">
        <v>164</v>
      </c>
      <c r="B165">
        <v>0.92424845695495605</v>
      </c>
      <c r="C165">
        <v>0.92178773899999999</v>
      </c>
      <c r="D165">
        <v>0.88483566045761097</v>
      </c>
      <c r="E165">
        <v>0.88254153700000004</v>
      </c>
      <c r="F165">
        <v>0.86024653911590498</v>
      </c>
      <c r="G165">
        <v>0.85420942300000002</v>
      </c>
    </row>
    <row r="166" spans="1:7" x14ac:dyDescent="0.45">
      <c r="A166" t="s">
        <v>165</v>
      </c>
      <c r="B166">
        <v>0.82316845655441195</v>
      </c>
      <c r="C166">
        <v>0.82200539100000003</v>
      </c>
      <c r="D166">
        <v>0.17450970411300601</v>
      </c>
      <c r="E166">
        <v>0.201738536</v>
      </c>
      <c r="F166">
        <v>0.72612041234970004</v>
      </c>
      <c r="G166">
        <v>0.78723406799999995</v>
      </c>
    </row>
    <row r="167" spans="1:7" x14ac:dyDescent="0.45">
      <c r="A167" t="s">
        <v>166</v>
      </c>
      <c r="B167">
        <v>0.78824549913406305</v>
      </c>
      <c r="C167">
        <v>0.78347539899999996</v>
      </c>
      <c r="D167">
        <v>0.87843763828277499</v>
      </c>
      <c r="E167">
        <v>0.86764705200000003</v>
      </c>
      <c r="F167">
        <v>0.774122834205627</v>
      </c>
      <c r="G167">
        <v>0.81046509700000002</v>
      </c>
    </row>
    <row r="168" spans="1:7" x14ac:dyDescent="0.45">
      <c r="A168" t="s">
        <v>167</v>
      </c>
      <c r="B168">
        <v>0.89512062072753895</v>
      </c>
      <c r="C168">
        <v>0.93525433499999999</v>
      </c>
      <c r="D168">
        <v>0.92770069837570102</v>
      </c>
      <c r="E168">
        <v>0.93698769800000004</v>
      </c>
      <c r="F168">
        <v>0.90453255176544101</v>
      </c>
      <c r="G168">
        <v>0.91198056900000002</v>
      </c>
    </row>
    <row r="169" spans="1:7" x14ac:dyDescent="0.45">
      <c r="A169" t="s">
        <v>168</v>
      </c>
      <c r="B169">
        <v>0.97021692991256703</v>
      </c>
      <c r="C169">
        <v>0.97138065100000004</v>
      </c>
      <c r="D169">
        <v>0.86655825376510598</v>
      </c>
      <c r="E169">
        <v>0.87329900299999996</v>
      </c>
      <c r="F169">
        <v>0.78564488887786799</v>
      </c>
      <c r="G169">
        <v>0.79458725500000005</v>
      </c>
    </row>
    <row r="170" spans="1:7" x14ac:dyDescent="0.45">
      <c r="A170" t="s">
        <v>169</v>
      </c>
      <c r="B170">
        <v>0.91949021816253595</v>
      </c>
      <c r="C170">
        <v>0.91411691900000003</v>
      </c>
      <c r="D170">
        <v>0.673439741134643</v>
      </c>
      <c r="E170">
        <v>0.53573781300000001</v>
      </c>
      <c r="F170">
        <v>0.41522029042243902</v>
      </c>
      <c r="G170">
        <v>0.45950412800000001</v>
      </c>
    </row>
    <row r="171" spans="1:7" x14ac:dyDescent="0.45">
      <c r="A171" t="s">
        <v>170</v>
      </c>
      <c r="B171">
        <v>0.90895181894302302</v>
      </c>
      <c r="C171">
        <v>0.92611390400000004</v>
      </c>
      <c r="D171">
        <v>0.95303690433502197</v>
      </c>
      <c r="E171">
        <v>0.95959287900000001</v>
      </c>
      <c r="F171">
        <v>0.85538196563720703</v>
      </c>
      <c r="G171">
        <v>0.867339313</v>
      </c>
    </row>
    <row r="172" spans="1:7" x14ac:dyDescent="0.45">
      <c r="A172" t="s">
        <v>171</v>
      </c>
      <c r="B172">
        <v>0.92489695549011197</v>
      </c>
      <c r="C172">
        <v>0.91983187200000005</v>
      </c>
      <c r="D172">
        <v>0.93240809440612704</v>
      </c>
      <c r="E172">
        <v>0.92102861400000002</v>
      </c>
      <c r="F172">
        <v>0.88650608062744096</v>
      </c>
      <c r="G172">
        <v>0.87982249300000004</v>
      </c>
    </row>
    <row r="173" spans="1:7" x14ac:dyDescent="0.45">
      <c r="A173" t="s">
        <v>172</v>
      </c>
      <c r="B173">
        <v>0.885978102684021</v>
      </c>
      <c r="C173">
        <v>0.88729309999999995</v>
      </c>
      <c r="D173">
        <v>0.92542117834091098</v>
      </c>
      <c r="E173">
        <v>0.92697256800000005</v>
      </c>
      <c r="F173">
        <v>0.87007796764373702</v>
      </c>
      <c r="G173">
        <v>0.87015891099999998</v>
      </c>
    </row>
    <row r="174" spans="1:7" x14ac:dyDescent="0.45">
      <c r="A174" t="s">
        <v>173</v>
      </c>
      <c r="B174">
        <v>0.89914786815643299</v>
      </c>
      <c r="C174">
        <v>0.91384643300000001</v>
      </c>
      <c r="D174">
        <v>0.95162093639373702</v>
      </c>
      <c r="E174">
        <v>0.95001280300000002</v>
      </c>
      <c r="F174">
        <v>0.934134840965271</v>
      </c>
      <c r="G174">
        <v>0.93567895899999998</v>
      </c>
    </row>
    <row r="175" spans="1:7" x14ac:dyDescent="0.45">
      <c r="A175" t="s">
        <v>174</v>
      </c>
      <c r="B175">
        <v>0.26248088479041998</v>
      </c>
      <c r="C175">
        <v>0.25032433900000001</v>
      </c>
      <c r="D175">
        <v>0.87257385253906194</v>
      </c>
      <c r="E175">
        <v>0.88356167100000005</v>
      </c>
      <c r="F175">
        <v>0.82196635007858199</v>
      </c>
      <c r="G175">
        <v>0.83032488800000004</v>
      </c>
    </row>
    <row r="176" spans="1:7" x14ac:dyDescent="0.45">
      <c r="A176" t="s">
        <v>175</v>
      </c>
      <c r="B176">
        <v>0.96561956405639604</v>
      </c>
      <c r="C176">
        <v>0.97256028699999997</v>
      </c>
      <c r="D176">
        <v>0.95500969886779696</v>
      </c>
      <c r="E176">
        <v>0.94839131799999998</v>
      </c>
      <c r="F176">
        <v>0.95128703117370605</v>
      </c>
      <c r="G176">
        <v>0.93846678699999997</v>
      </c>
    </row>
    <row r="177" spans="1:7" x14ac:dyDescent="0.45">
      <c r="A177" t="s">
        <v>176</v>
      </c>
      <c r="B177">
        <v>0.95390343666076605</v>
      </c>
      <c r="C177">
        <v>0.95470786100000005</v>
      </c>
      <c r="D177">
        <v>0.96108090877532903</v>
      </c>
      <c r="E177">
        <v>0.96348798300000005</v>
      </c>
      <c r="F177">
        <v>0.87586677074432295</v>
      </c>
      <c r="G177">
        <v>0.88584959500000005</v>
      </c>
    </row>
    <row r="178" spans="1:7" x14ac:dyDescent="0.45">
      <c r="A178" t="s">
        <v>177</v>
      </c>
      <c r="B178">
        <v>0.97165495157241799</v>
      </c>
      <c r="C178">
        <v>0.97201579800000004</v>
      </c>
      <c r="D178">
        <v>0.97105425596237105</v>
      </c>
      <c r="E178">
        <v>0.96960914099999995</v>
      </c>
      <c r="F178">
        <v>0.93488830327987604</v>
      </c>
      <c r="G178">
        <v>0.93239939199999999</v>
      </c>
    </row>
    <row r="179" spans="1:7" x14ac:dyDescent="0.45">
      <c r="A179" t="s">
        <v>178</v>
      </c>
      <c r="B179">
        <v>0.95950073003768899</v>
      </c>
      <c r="C179">
        <v>0.96185666299999995</v>
      </c>
      <c r="D179">
        <v>0.96224969625473</v>
      </c>
      <c r="E179">
        <v>0.96586060500000004</v>
      </c>
      <c r="F179">
        <v>0.89113974571228005</v>
      </c>
      <c r="G179">
        <v>0.89769345499999997</v>
      </c>
    </row>
    <row r="180" spans="1:7" x14ac:dyDescent="0.45">
      <c r="A180" t="s">
        <v>179</v>
      </c>
      <c r="B180">
        <v>0.93043547868728604</v>
      </c>
      <c r="C180">
        <v>0.93734532599999998</v>
      </c>
      <c r="D180">
        <v>0.94272035360336304</v>
      </c>
      <c r="E180">
        <v>0.93725293899999995</v>
      </c>
      <c r="F180">
        <v>0.92107272148132302</v>
      </c>
      <c r="G180">
        <v>0.910523415</v>
      </c>
    </row>
    <row r="181" spans="1:7" x14ac:dyDescent="0.45">
      <c r="A181" t="s">
        <v>180</v>
      </c>
      <c r="B181">
        <v>0.87930327653884799</v>
      </c>
      <c r="C181">
        <v>0.90789604199999996</v>
      </c>
      <c r="D181">
        <v>0.93865513801574696</v>
      </c>
      <c r="E181">
        <v>0.94999998799999996</v>
      </c>
      <c r="F181">
        <v>0.86744117736816395</v>
      </c>
      <c r="G181">
        <v>0.88480520200000001</v>
      </c>
    </row>
    <row r="182" spans="1:7" x14ac:dyDescent="0.45">
      <c r="A182" t="s">
        <v>181</v>
      </c>
      <c r="B182">
        <v>0.84611582756042403</v>
      </c>
      <c r="C182">
        <v>0.84836632000000001</v>
      </c>
      <c r="D182">
        <v>0.83234345912933305</v>
      </c>
      <c r="E182">
        <v>0.83519375299999998</v>
      </c>
      <c r="F182">
        <v>0.82928705215454102</v>
      </c>
      <c r="G182">
        <v>0.83310508699999997</v>
      </c>
    </row>
    <row r="183" spans="1:7" x14ac:dyDescent="0.45">
      <c r="A183" t="s">
        <v>182</v>
      </c>
      <c r="B183">
        <v>0.95703518390655495</v>
      </c>
      <c r="C183">
        <v>0.96156960700000005</v>
      </c>
      <c r="D183">
        <v>0.95531952381134</v>
      </c>
      <c r="E183">
        <v>0.96105074899999998</v>
      </c>
      <c r="F183">
        <v>0.94671612977981501</v>
      </c>
      <c r="G183">
        <v>0.955656171</v>
      </c>
    </row>
    <row r="184" spans="1:7" x14ac:dyDescent="0.45">
      <c r="A184" t="s">
        <v>183</v>
      </c>
      <c r="B184">
        <v>0.94528675079345703</v>
      </c>
      <c r="C184">
        <v>0.95282161200000004</v>
      </c>
      <c r="D184">
        <v>0.93283015489578203</v>
      </c>
      <c r="E184">
        <v>0.93394011300000002</v>
      </c>
      <c r="F184">
        <v>0.92506253719329801</v>
      </c>
      <c r="G184">
        <v>0.92470306199999996</v>
      </c>
    </row>
    <row r="185" spans="1:7" x14ac:dyDescent="0.45">
      <c r="A185" t="s">
        <v>184</v>
      </c>
      <c r="B185">
        <v>0.96018421649932795</v>
      </c>
      <c r="C185">
        <v>0.96047228600000001</v>
      </c>
      <c r="D185">
        <v>0.96124339103698697</v>
      </c>
      <c r="E185">
        <v>0.95697528099999996</v>
      </c>
      <c r="F185">
        <v>0.89022445678710904</v>
      </c>
      <c r="G185">
        <v>0.88739532200000004</v>
      </c>
    </row>
    <row r="186" spans="1:7" x14ac:dyDescent="0.45">
      <c r="A186" t="s">
        <v>185</v>
      </c>
      <c r="B186">
        <v>0.95622920989990201</v>
      </c>
      <c r="C186">
        <v>0.95205104399999996</v>
      </c>
      <c r="D186">
        <v>0.86336034536361606</v>
      </c>
      <c r="E186">
        <v>0.85471844699999999</v>
      </c>
      <c r="F186">
        <v>0.807361960411071</v>
      </c>
      <c r="G186">
        <v>0.787172019</v>
      </c>
    </row>
    <row r="187" spans="1:7" x14ac:dyDescent="0.45">
      <c r="A187" t="s">
        <v>186</v>
      </c>
      <c r="B187">
        <v>0.94026255607604903</v>
      </c>
      <c r="C187">
        <v>0.94541764299999997</v>
      </c>
      <c r="D187">
        <v>0.12175878137350001</v>
      </c>
      <c r="E187">
        <v>0.18675029300000001</v>
      </c>
      <c r="F187">
        <v>0.564472496509552</v>
      </c>
      <c r="G187">
        <v>0.661132634</v>
      </c>
    </row>
    <row r="188" spans="1:7" x14ac:dyDescent="0.45">
      <c r="A188" t="s">
        <v>187</v>
      </c>
      <c r="B188">
        <v>0.83876216411590498</v>
      </c>
      <c r="C188">
        <v>0.84350585899999997</v>
      </c>
      <c r="D188">
        <v>0.96484309434890703</v>
      </c>
      <c r="E188">
        <v>0.95635145899999996</v>
      </c>
      <c r="F188">
        <v>0.954897880554199</v>
      </c>
      <c r="G188">
        <v>0.94877135800000001</v>
      </c>
    </row>
    <row r="189" spans="1:7" x14ac:dyDescent="0.45">
      <c r="A189" t="s">
        <v>188</v>
      </c>
      <c r="B189">
        <v>0.91377472877502397</v>
      </c>
      <c r="C189">
        <v>0.92001968599999995</v>
      </c>
      <c r="D189">
        <v>0.93518310785293501</v>
      </c>
      <c r="E189">
        <v>0.94527822699999997</v>
      </c>
      <c r="F189">
        <v>0.90215051174163796</v>
      </c>
      <c r="G189">
        <v>0.92164599899999999</v>
      </c>
    </row>
    <row r="191" spans="1:7" x14ac:dyDescent="0.45">
      <c r="C191">
        <v>0.25032433900000001</v>
      </c>
      <c r="E191" s="1">
        <v>5.1894099999999998E-10</v>
      </c>
      <c r="G191" s="1">
        <v>1.7158500000000001E-10</v>
      </c>
    </row>
    <row r="192" spans="1:7" x14ac:dyDescent="0.45">
      <c r="C192">
        <v>0.97576415500000002</v>
      </c>
      <c r="E192">
        <v>0.97823971499999995</v>
      </c>
      <c r="G192">
        <v>0.955656171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WT_fold0</vt:lpstr>
      <vt:lpstr>TC_fold0</vt:lpstr>
      <vt:lpstr>ET_fold0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Putri</dc:creator>
  <cp:lastModifiedBy>Ara Putri</cp:lastModifiedBy>
  <dcterms:created xsi:type="dcterms:W3CDTF">2015-06-05T18:17:20Z</dcterms:created>
  <dcterms:modified xsi:type="dcterms:W3CDTF">2026-06-27T10:10:35Z</dcterms:modified>
</cp:coreProperties>
</file>